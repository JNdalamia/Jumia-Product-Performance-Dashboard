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jndalamia\Documents\DataScience\Jumia Product Performance Dashboard\"/>
    </mc:Choice>
  </mc:AlternateContent>
  <xr:revisionPtr revIDLastSave="0" documentId="8_{88DC0FDB-0FB2-4AF3-9A9B-B657F92CBBF2}" xr6:coauthVersionLast="47" xr6:coauthVersionMax="47" xr10:uidLastSave="{00000000-0000-0000-0000-000000000000}"/>
  <bookViews>
    <workbookView xWindow="-120" yWindow="-120" windowWidth="29040" windowHeight="15720" xr2:uid="{00000000-000D-0000-FFFF-FFFF00000000}"/>
  </bookViews>
  <sheets>
    <sheet name="Dashboard" sheetId="13" r:id="rId1"/>
    <sheet name="Raw dataset" sheetId="1" r:id="rId2"/>
    <sheet name="Cleaned data" sheetId="3" r:id="rId3"/>
    <sheet name="Cleaning log" sheetId="4" r:id="rId4"/>
    <sheet name="Project Brief" sheetId="2" r:id="rId5"/>
    <sheet name="Descriptive Stats" sheetId="6" r:id="rId6"/>
    <sheet name="Enrichment" sheetId="5" r:id="rId7"/>
    <sheet name="Analysis Working" sheetId="7" r:id="rId8"/>
    <sheet name=" Analysis Tables" sheetId="9" r:id="rId9"/>
    <sheet name="Pivot Charts" sheetId="8" r:id="rId10"/>
    <sheet name="Pivot Tables" sheetId="10" r:id="rId11"/>
    <sheet name="Exception" sheetId="11" r:id="rId12"/>
  </sheets>
  <definedNames>
    <definedName name="_xlnm._FilterDatabase" localSheetId="7" hidden="1">'Analysis Working'!$A$1:$J$113</definedName>
    <definedName name="_xlnm._FilterDatabase" localSheetId="6" hidden="1">Enrichment!$A$1:$J$113</definedName>
    <definedName name="Slicer_Discount_Category">#N/A</definedName>
    <definedName name="Slicer_Price_Category">#N/A</definedName>
    <definedName name="Slicer_Rating_Category">#N/A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5" l="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2" i="5"/>
  <c r="R2" i="7" l="1"/>
  <c r="P2" i="7"/>
  <c r="Q2" i="7"/>
  <c r="M4" i="7"/>
  <c r="J16" i="7"/>
  <c r="J9" i="7"/>
  <c r="J32" i="7"/>
  <c r="J44" i="7"/>
  <c r="J15" i="7"/>
  <c r="J3" i="7"/>
  <c r="J52" i="7"/>
  <c r="J39" i="7"/>
  <c r="J40" i="7"/>
  <c r="J23" i="7"/>
  <c r="J6" i="7"/>
  <c r="J21" i="7"/>
  <c r="J36" i="7"/>
  <c r="J28" i="7"/>
  <c r="J48" i="7"/>
  <c r="J49" i="7"/>
  <c r="J46" i="7"/>
  <c r="J45" i="7"/>
  <c r="J5" i="7"/>
  <c r="J19" i="7"/>
  <c r="J86" i="7"/>
  <c r="J37" i="7"/>
  <c r="J17" i="7"/>
  <c r="J29" i="7"/>
  <c r="J4" i="7"/>
  <c r="J24" i="7"/>
  <c r="J20" i="7"/>
  <c r="J10" i="7"/>
  <c r="J82" i="7"/>
  <c r="J26" i="7"/>
  <c r="J22" i="7"/>
  <c r="J27" i="7"/>
  <c r="J11" i="7"/>
  <c r="J8" i="7"/>
  <c r="J57" i="7"/>
  <c r="J47" i="7"/>
  <c r="J7" i="7"/>
  <c r="J51" i="7"/>
  <c r="J91" i="7"/>
  <c r="J67" i="7"/>
  <c r="J62" i="7"/>
  <c r="J87" i="7"/>
  <c r="J107" i="7"/>
  <c r="J63" i="7"/>
  <c r="J96" i="7"/>
  <c r="J68" i="7"/>
  <c r="J92" i="7"/>
  <c r="J60" i="7"/>
  <c r="J64" i="7"/>
  <c r="J108" i="7"/>
  <c r="J99" i="7"/>
  <c r="J106" i="7"/>
  <c r="J89" i="7"/>
  <c r="J83" i="7"/>
  <c r="J76" i="7"/>
  <c r="J69" i="7"/>
  <c r="J97" i="7"/>
  <c r="J61" i="7"/>
  <c r="J38" i="7"/>
  <c r="J25" i="7"/>
  <c r="J18" i="7"/>
  <c r="J2" i="7"/>
  <c r="J14" i="7"/>
  <c r="J13" i="7"/>
  <c r="J34" i="7"/>
  <c r="J30" i="7"/>
  <c r="J42" i="7"/>
  <c r="J12" i="7"/>
  <c r="J43" i="7"/>
  <c r="J35" i="7"/>
  <c r="J41" i="7"/>
  <c r="J33" i="7"/>
  <c r="J31" i="7"/>
  <c r="J79" i="7"/>
  <c r="J84" i="7"/>
  <c r="J104" i="7"/>
  <c r="J70" i="7"/>
  <c r="J56" i="7"/>
  <c r="J55" i="7"/>
  <c r="J93" i="7"/>
  <c r="J109" i="7"/>
  <c r="J54" i="7"/>
  <c r="J71" i="7"/>
  <c r="J100" i="7"/>
  <c r="J72" i="7"/>
  <c r="J102" i="7"/>
  <c r="J73" i="7"/>
  <c r="J101" i="7"/>
  <c r="J85" i="7"/>
  <c r="J65" i="7"/>
  <c r="J77" i="7"/>
  <c r="J78" i="7"/>
  <c r="J80" i="7"/>
  <c r="J66" i="7"/>
  <c r="J103" i="7"/>
  <c r="J110" i="7"/>
  <c r="J74" i="7"/>
  <c r="J105" i="7"/>
  <c r="J75" i="7"/>
  <c r="J88" i="7"/>
  <c r="J58" i="7"/>
  <c r="J90" i="7"/>
  <c r="J113" i="7"/>
  <c r="J98" i="7"/>
  <c r="J94" i="7"/>
  <c r="J95" i="7"/>
  <c r="J111" i="7"/>
  <c r="J112" i="7"/>
  <c r="J59" i="7"/>
  <c r="J53" i="7"/>
  <c r="J81" i="7"/>
  <c r="J50" i="7"/>
  <c r="I16" i="7"/>
  <c r="I9" i="7"/>
  <c r="I32" i="7"/>
  <c r="I44" i="7"/>
  <c r="I15" i="7"/>
  <c r="I3" i="7"/>
  <c r="I52" i="7"/>
  <c r="I39" i="7"/>
  <c r="I40" i="7"/>
  <c r="I23" i="7"/>
  <c r="I6" i="7"/>
  <c r="I21" i="7"/>
  <c r="I36" i="7"/>
  <c r="I28" i="7"/>
  <c r="I48" i="7"/>
  <c r="I49" i="7"/>
  <c r="I46" i="7"/>
  <c r="I45" i="7"/>
  <c r="I5" i="7"/>
  <c r="I19" i="7"/>
  <c r="I86" i="7"/>
  <c r="I37" i="7"/>
  <c r="I17" i="7"/>
  <c r="I29" i="7"/>
  <c r="I4" i="7"/>
  <c r="I24" i="7"/>
  <c r="I20" i="7"/>
  <c r="I10" i="7"/>
  <c r="I82" i="7"/>
  <c r="I26" i="7"/>
  <c r="I22" i="7"/>
  <c r="I27" i="7"/>
  <c r="I11" i="7"/>
  <c r="I8" i="7"/>
  <c r="I57" i="7"/>
  <c r="I47" i="7"/>
  <c r="I7" i="7"/>
  <c r="I51" i="7"/>
  <c r="I91" i="7"/>
  <c r="I67" i="7"/>
  <c r="I62" i="7"/>
  <c r="I87" i="7"/>
  <c r="I107" i="7"/>
  <c r="I63" i="7"/>
  <c r="I96" i="7"/>
  <c r="I68" i="7"/>
  <c r="I92" i="7"/>
  <c r="I60" i="7"/>
  <c r="I64" i="7"/>
  <c r="I108" i="7"/>
  <c r="I99" i="7"/>
  <c r="I106" i="7"/>
  <c r="I89" i="7"/>
  <c r="I83" i="7"/>
  <c r="I76" i="7"/>
  <c r="I69" i="7"/>
  <c r="I97" i="7"/>
  <c r="I61" i="7"/>
  <c r="I38" i="7"/>
  <c r="I25" i="7"/>
  <c r="I18" i="7"/>
  <c r="I2" i="7"/>
  <c r="I14" i="7"/>
  <c r="I13" i="7"/>
  <c r="I34" i="7"/>
  <c r="I30" i="7"/>
  <c r="I42" i="7"/>
  <c r="I12" i="7"/>
  <c r="I43" i="7"/>
  <c r="I35" i="7"/>
  <c r="I41" i="7"/>
  <c r="I33" i="7"/>
  <c r="I31" i="7"/>
  <c r="I79" i="7"/>
  <c r="I84" i="7"/>
  <c r="I104" i="7"/>
  <c r="I70" i="7"/>
  <c r="I56" i="7"/>
  <c r="I55" i="7"/>
  <c r="I93" i="7"/>
  <c r="I109" i="7"/>
  <c r="I54" i="7"/>
  <c r="I71" i="7"/>
  <c r="I100" i="7"/>
  <c r="I72" i="7"/>
  <c r="I102" i="7"/>
  <c r="I73" i="7"/>
  <c r="I101" i="7"/>
  <c r="I85" i="7"/>
  <c r="I65" i="7"/>
  <c r="I77" i="7"/>
  <c r="I78" i="7"/>
  <c r="I80" i="7"/>
  <c r="I66" i="7"/>
  <c r="I103" i="7"/>
  <c r="I110" i="7"/>
  <c r="I74" i="7"/>
  <c r="I105" i="7"/>
  <c r="I75" i="7"/>
  <c r="I88" i="7"/>
  <c r="I58" i="7"/>
  <c r="I90" i="7"/>
  <c r="I113" i="7"/>
  <c r="I98" i="7"/>
  <c r="I94" i="7"/>
  <c r="I95" i="7"/>
  <c r="I111" i="7"/>
  <c r="I112" i="7"/>
  <c r="I59" i="7"/>
  <c r="I53" i="7"/>
  <c r="I81" i="7"/>
  <c r="I50" i="7"/>
  <c r="M3" i="7"/>
  <c r="H16" i="7"/>
  <c r="H9" i="7"/>
  <c r="H32" i="7"/>
  <c r="H44" i="7"/>
  <c r="H15" i="7"/>
  <c r="H3" i="7"/>
  <c r="H52" i="7"/>
  <c r="H39" i="7"/>
  <c r="H40" i="7"/>
  <c r="H23" i="7"/>
  <c r="H6" i="7"/>
  <c r="H21" i="7"/>
  <c r="H36" i="7"/>
  <c r="H28" i="7"/>
  <c r="H48" i="7"/>
  <c r="H49" i="7"/>
  <c r="H46" i="7"/>
  <c r="H45" i="7"/>
  <c r="H5" i="7"/>
  <c r="H19" i="7"/>
  <c r="H86" i="7"/>
  <c r="H37" i="7"/>
  <c r="H17" i="7"/>
  <c r="H29" i="7"/>
  <c r="H4" i="7"/>
  <c r="H24" i="7"/>
  <c r="H20" i="7"/>
  <c r="H10" i="7"/>
  <c r="H82" i="7"/>
  <c r="H26" i="7"/>
  <c r="H22" i="7"/>
  <c r="H27" i="7"/>
  <c r="H11" i="7"/>
  <c r="H8" i="7"/>
  <c r="H57" i="7"/>
  <c r="H47" i="7"/>
  <c r="H7" i="7"/>
  <c r="H51" i="7"/>
  <c r="H91" i="7"/>
  <c r="H67" i="7"/>
  <c r="H62" i="7"/>
  <c r="H87" i="7"/>
  <c r="H107" i="7"/>
  <c r="H63" i="7"/>
  <c r="H96" i="7"/>
  <c r="H68" i="7"/>
  <c r="H92" i="7"/>
  <c r="H60" i="7"/>
  <c r="H64" i="7"/>
  <c r="H108" i="7"/>
  <c r="H99" i="7"/>
  <c r="H106" i="7"/>
  <c r="H89" i="7"/>
  <c r="H83" i="7"/>
  <c r="H76" i="7"/>
  <c r="H69" i="7"/>
  <c r="H97" i="7"/>
  <c r="H61" i="7"/>
  <c r="H38" i="7"/>
  <c r="H25" i="7"/>
  <c r="H18" i="7"/>
  <c r="H2" i="7"/>
  <c r="H14" i="7"/>
  <c r="H13" i="7"/>
  <c r="H34" i="7"/>
  <c r="H30" i="7"/>
  <c r="H42" i="7"/>
  <c r="H12" i="7"/>
  <c r="H43" i="7"/>
  <c r="H35" i="7"/>
  <c r="H41" i="7"/>
  <c r="H33" i="7"/>
  <c r="H31" i="7"/>
  <c r="H79" i="7"/>
  <c r="H84" i="7"/>
  <c r="H104" i="7"/>
  <c r="H70" i="7"/>
  <c r="H56" i="7"/>
  <c r="H55" i="7"/>
  <c r="H93" i="7"/>
  <c r="H109" i="7"/>
  <c r="H54" i="7"/>
  <c r="H71" i="7"/>
  <c r="H100" i="7"/>
  <c r="H72" i="7"/>
  <c r="H102" i="7"/>
  <c r="H73" i="7"/>
  <c r="H101" i="7"/>
  <c r="H85" i="7"/>
  <c r="H65" i="7"/>
  <c r="H77" i="7"/>
  <c r="H78" i="7"/>
  <c r="H80" i="7"/>
  <c r="H66" i="7"/>
  <c r="H103" i="7"/>
  <c r="H110" i="7"/>
  <c r="H74" i="7"/>
  <c r="H105" i="7"/>
  <c r="H75" i="7"/>
  <c r="H88" i="7"/>
  <c r="H58" i="7"/>
  <c r="H90" i="7"/>
  <c r="H113" i="7"/>
  <c r="H98" i="7"/>
  <c r="H94" i="7"/>
  <c r="H95" i="7"/>
  <c r="H111" i="7"/>
  <c r="H112" i="7"/>
  <c r="H59" i="7"/>
  <c r="H53" i="7"/>
  <c r="H81" i="7"/>
  <c r="H50" i="7"/>
  <c r="G16" i="7"/>
  <c r="G9" i="7"/>
  <c r="G32" i="7"/>
  <c r="G44" i="7"/>
  <c r="G15" i="7"/>
  <c r="G3" i="7"/>
  <c r="G52" i="7"/>
  <c r="G39" i="7"/>
  <c r="G40" i="7"/>
  <c r="G23" i="7"/>
  <c r="G6" i="7"/>
  <c r="G21" i="7"/>
  <c r="G36" i="7"/>
  <c r="G28" i="7"/>
  <c r="G48" i="7"/>
  <c r="G49" i="7"/>
  <c r="G46" i="7"/>
  <c r="G45" i="7"/>
  <c r="G5" i="7"/>
  <c r="G19" i="7"/>
  <c r="G86" i="7"/>
  <c r="G37" i="7"/>
  <c r="G17" i="7"/>
  <c r="G29" i="7"/>
  <c r="G4" i="7"/>
  <c r="G24" i="7"/>
  <c r="G20" i="7"/>
  <c r="G10" i="7"/>
  <c r="G82" i="7"/>
  <c r="G26" i="7"/>
  <c r="G22" i="7"/>
  <c r="G27" i="7"/>
  <c r="G11" i="7"/>
  <c r="G8" i="7"/>
  <c r="G57" i="7"/>
  <c r="G47" i="7"/>
  <c r="G7" i="7"/>
  <c r="G51" i="7"/>
  <c r="G91" i="7"/>
  <c r="G67" i="7"/>
  <c r="G62" i="7"/>
  <c r="G87" i="7"/>
  <c r="G107" i="7"/>
  <c r="G63" i="7"/>
  <c r="G96" i="7"/>
  <c r="G68" i="7"/>
  <c r="G92" i="7"/>
  <c r="G60" i="7"/>
  <c r="G64" i="7"/>
  <c r="G108" i="7"/>
  <c r="G99" i="7"/>
  <c r="G106" i="7"/>
  <c r="G89" i="7"/>
  <c r="G83" i="7"/>
  <c r="G76" i="7"/>
  <c r="G69" i="7"/>
  <c r="G97" i="7"/>
  <c r="G61" i="7"/>
  <c r="G38" i="7"/>
  <c r="G25" i="7"/>
  <c r="G18" i="7"/>
  <c r="G2" i="7"/>
  <c r="G14" i="7"/>
  <c r="G13" i="7"/>
  <c r="G34" i="7"/>
  <c r="G30" i="7"/>
  <c r="G42" i="7"/>
  <c r="G12" i="7"/>
  <c r="G43" i="7"/>
  <c r="G35" i="7"/>
  <c r="G41" i="7"/>
  <c r="G33" i="7"/>
  <c r="G31" i="7"/>
  <c r="G79" i="7"/>
  <c r="G84" i="7"/>
  <c r="G104" i="7"/>
  <c r="G70" i="7"/>
  <c r="G56" i="7"/>
  <c r="G55" i="7"/>
  <c r="G93" i="7"/>
  <c r="G109" i="7"/>
  <c r="G54" i="7"/>
  <c r="G71" i="7"/>
  <c r="G100" i="7"/>
  <c r="G72" i="7"/>
  <c r="G102" i="7"/>
  <c r="G73" i="7"/>
  <c r="G101" i="7"/>
  <c r="G85" i="7"/>
  <c r="G65" i="7"/>
  <c r="G77" i="7"/>
  <c r="G78" i="7"/>
  <c r="G80" i="7"/>
  <c r="G66" i="7"/>
  <c r="G103" i="7"/>
  <c r="G110" i="7"/>
  <c r="G74" i="7"/>
  <c r="G105" i="7"/>
  <c r="G75" i="7"/>
  <c r="G88" i="7"/>
  <c r="G58" i="7"/>
  <c r="G90" i="7"/>
  <c r="G113" i="7"/>
  <c r="G98" i="7"/>
  <c r="G94" i="7"/>
  <c r="G95" i="7"/>
  <c r="G111" i="7"/>
  <c r="G112" i="7"/>
  <c r="G59" i="7"/>
  <c r="G53" i="7"/>
  <c r="G81" i="7"/>
  <c r="G50" i="7"/>
  <c r="M2" i="7"/>
  <c r="K9" i="6"/>
  <c r="K8" i="6"/>
  <c r="J9" i="6"/>
  <c r="J8" i="6"/>
  <c r="J7" i="6"/>
  <c r="J6" i="6"/>
  <c r="J5" i="6"/>
  <c r="J4" i="6"/>
  <c r="J3" i="6"/>
  <c r="J2" i="6"/>
  <c r="B25" i="4"/>
  <c r="C25" i="4"/>
  <c r="D25" i="4"/>
  <c r="E25" i="4"/>
  <c r="F25" i="4"/>
  <c r="J16" i="5"/>
  <c r="J9" i="5"/>
  <c r="J29" i="5"/>
  <c r="J39" i="5"/>
  <c r="J14" i="5"/>
  <c r="J3" i="5"/>
  <c r="J48" i="5"/>
  <c r="J40" i="5"/>
  <c r="J41" i="5"/>
  <c r="J21" i="5"/>
  <c r="J6" i="5"/>
  <c r="J22" i="5"/>
  <c r="J33" i="5"/>
  <c r="J26" i="5"/>
  <c r="J49" i="5"/>
  <c r="J50" i="5"/>
  <c r="J46" i="5"/>
  <c r="J42" i="5"/>
  <c r="J5" i="5"/>
  <c r="J18" i="5"/>
  <c r="J59" i="5"/>
  <c r="J34" i="5"/>
  <c r="J17" i="5"/>
  <c r="J30" i="5"/>
  <c r="J4" i="5"/>
  <c r="J23" i="5"/>
  <c r="J19" i="5"/>
  <c r="J10" i="5"/>
  <c r="J60" i="5"/>
  <c r="J27" i="5"/>
  <c r="J24" i="5"/>
  <c r="J28" i="5"/>
  <c r="J11" i="5"/>
  <c r="J8" i="5"/>
  <c r="J53" i="5"/>
  <c r="J51" i="5"/>
  <c r="J7" i="5"/>
  <c r="J52" i="5"/>
  <c r="J61" i="5"/>
  <c r="J62" i="5"/>
  <c r="J63" i="5"/>
  <c r="J64" i="5"/>
  <c r="J65" i="5"/>
  <c r="J66" i="5"/>
  <c r="J67" i="5"/>
  <c r="J68" i="5"/>
  <c r="J69" i="5"/>
  <c r="J70" i="5"/>
  <c r="J71" i="5"/>
  <c r="J72" i="5"/>
  <c r="J73" i="5"/>
  <c r="J74" i="5"/>
  <c r="J75" i="5"/>
  <c r="J76" i="5"/>
  <c r="J77" i="5"/>
  <c r="J78" i="5"/>
  <c r="J79" i="5"/>
  <c r="J80" i="5"/>
  <c r="J35" i="5"/>
  <c r="J25" i="5"/>
  <c r="J20" i="5"/>
  <c r="J2" i="5"/>
  <c r="J15" i="5"/>
  <c r="J13" i="5"/>
  <c r="J36" i="5"/>
  <c r="J31" i="5"/>
  <c r="J43" i="5"/>
  <c r="J12" i="5"/>
  <c r="J44" i="5"/>
  <c r="J37" i="5"/>
  <c r="J45" i="5"/>
  <c r="J38" i="5"/>
  <c r="J32" i="5"/>
  <c r="J81" i="5"/>
  <c r="J82" i="5"/>
  <c r="J83" i="5"/>
  <c r="J84" i="5"/>
  <c r="J54" i="5"/>
  <c r="J55" i="5"/>
  <c r="J85" i="5"/>
  <c r="J86" i="5"/>
  <c r="J56" i="5"/>
  <c r="J87" i="5"/>
  <c r="J88" i="5"/>
  <c r="J89" i="5"/>
  <c r="J90" i="5"/>
  <c r="J91" i="5"/>
  <c r="J92" i="5"/>
  <c r="J93" i="5"/>
  <c r="J94" i="5"/>
  <c r="J95" i="5"/>
  <c r="J96" i="5"/>
  <c r="J97" i="5"/>
  <c r="J98" i="5"/>
  <c r="J99" i="5"/>
  <c r="J100" i="5"/>
  <c r="J101" i="5"/>
  <c r="J102" i="5"/>
  <c r="J103" i="5"/>
  <c r="J104" i="5"/>
  <c r="J57" i="5"/>
  <c r="J105" i="5"/>
  <c r="J106" i="5"/>
  <c r="J107" i="5"/>
  <c r="J108" i="5"/>
  <c r="J109" i="5"/>
  <c r="J110" i="5"/>
  <c r="J111" i="5"/>
  <c r="J112" i="5"/>
  <c r="J58" i="5"/>
  <c r="J113" i="5"/>
  <c r="J47" i="5"/>
  <c r="I16" i="5"/>
  <c r="I9" i="5"/>
  <c r="I29" i="5"/>
  <c r="I39" i="5"/>
  <c r="I14" i="5"/>
  <c r="I3" i="5"/>
  <c r="I48" i="5"/>
  <c r="I40" i="5"/>
  <c r="I41" i="5"/>
  <c r="I21" i="5"/>
  <c r="I6" i="5"/>
  <c r="I22" i="5"/>
  <c r="I33" i="5"/>
  <c r="I26" i="5"/>
  <c r="I49" i="5"/>
  <c r="I50" i="5"/>
  <c r="I46" i="5"/>
  <c r="I42" i="5"/>
  <c r="I5" i="5"/>
  <c r="I18" i="5"/>
  <c r="I59" i="5"/>
  <c r="I34" i="5"/>
  <c r="I17" i="5"/>
  <c r="I30" i="5"/>
  <c r="I4" i="5"/>
  <c r="I23" i="5"/>
  <c r="I19" i="5"/>
  <c r="I10" i="5"/>
  <c r="I60" i="5"/>
  <c r="I27" i="5"/>
  <c r="I24" i="5"/>
  <c r="I28" i="5"/>
  <c r="I11" i="5"/>
  <c r="I8" i="5"/>
  <c r="I53" i="5"/>
  <c r="I51" i="5"/>
  <c r="I7" i="5"/>
  <c r="I52" i="5"/>
  <c r="I61" i="5"/>
  <c r="I62" i="5"/>
  <c r="I63" i="5"/>
  <c r="I64" i="5"/>
  <c r="I65" i="5"/>
  <c r="I66" i="5"/>
  <c r="I67" i="5"/>
  <c r="I68" i="5"/>
  <c r="I69" i="5"/>
  <c r="I70" i="5"/>
  <c r="I71" i="5"/>
  <c r="I72" i="5"/>
  <c r="I73" i="5"/>
  <c r="I74" i="5"/>
  <c r="I75" i="5"/>
  <c r="I76" i="5"/>
  <c r="I77" i="5"/>
  <c r="I78" i="5"/>
  <c r="I79" i="5"/>
  <c r="I80" i="5"/>
  <c r="I35" i="5"/>
  <c r="I25" i="5"/>
  <c r="I20" i="5"/>
  <c r="I2" i="5"/>
  <c r="I15" i="5"/>
  <c r="I13" i="5"/>
  <c r="I36" i="5"/>
  <c r="I31" i="5"/>
  <c r="I43" i="5"/>
  <c r="I12" i="5"/>
  <c r="I44" i="5"/>
  <c r="I37" i="5"/>
  <c r="I45" i="5"/>
  <c r="I38" i="5"/>
  <c r="I32" i="5"/>
  <c r="I81" i="5"/>
  <c r="I82" i="5"/>
  <c r="I83" i="5"/>
  <c r="I84" i="5"/>
  <c r="I54" i="5"/>
  <c r="I55" i="5"/>
  <c r="I85" i="5"/>
  <c r="I86" i="5"/>
  <c r="I56" i="5"/>
  <c r="I87" i="5"/>
  <c r="I88" i="5"/>
  <c r="I89" i="5"/>
  <c r="I90" i="5"/>
  <c r="I91" i="5"/>
  <c r="I92" i="5"/>
  <c r="I93" i="5"/>
  <c r="I94" i="5"/>
  <c r="I95" i="5"/>
  <c r="I96" i="5"/>
  <c r="I97" i="5"/>
  <c r="I98" i="5"/>
  <c r="I99" i="5"/>
  <c r="I100" i="5"/>
  <c r="I101" i="5"/>
  <c r="I102" i="5"/>
  <c r="I103" i="5"/>
  <c r="I104" i="5"/>
  <c r="I57" i="5"/>
  <c r="I105" i="5"/>
  <c r="I106" i="5"/>
  <c r="I107" i="5"/>
  <c r="I108" i="5"/>
  <c r="I109" i="5"/>
  <c r="I110" i="5"/>
  <c r="I111" i="5"/>
  <c r="I112" i="5"/>
  <c r="I58" i="5"/>
  <c r="I113" i="5"/>
  <c r="I47" i="5"/>
  <c r="H16" i="5"/>
  <c r="H9" i="5"/>
  <c r="H29" i="5"/>
  <c r="H39" i="5"/>
  <c r="H14" i="5"/>
  <c r="H3" i="5"/>
  <c r="H48" i="5"/>
  <c r="H40" i="5"/>
  <c r="H41" i="5"/>
  <c r="H21" i="5"/>
  <c r="H6" i="5"/>
  <c r="H22" i="5"/>
  <c r="H33" i="5"/>
  <c r="H26" i="5"/>
  <c r="H49" i="5"/>
  <c r="H50" i="5"/>
  <c r="H46" i="5"/>
  <c r="H42" i="5"/>
  <c r="H5" i="5"/>
  <c r="H18" i="5"/>
  <c r="H59" i="5"/>
  <c r="H34" i="5"/>
  <c r="H17" i="5"/>
  <c r="H30" i="5"/>
  <c r="H4" i="5"/>
  <c r="H23" i="5"/>
  <c r="H19" i="5"/>
  <c r="H10" i="5"/>
  <c r="H60" i="5"/>
  <c r="H27" i="5"/>
  <c r="H24" i="5"/>
  <c r="H28" i="5"/>
  <c r="H11" i="5"/>
  <c r="H8" i="5"/>
  <c r="H53" i="5"/>
  <c r="H51" i="5"/>
  <c r="H7" i="5"/>
  <c r="H52" i="5"/>
  <c r="H61" i="5"/>
  <c r="H62" i="5"/>
  <c r="H63" i="5"/>
  <c r="H64" i="5"/>
  <c r="H65" i="5"/>
  <c r="H66" i="5"/>
  <c r="H67" i="5"/>
  <c r="H68" i="5"/>
  <c r="H69" i="5"/>
  <c r="H70" i="5"/>
  <c r="H71" i="5"/>
  <c r="H72" i="5"/>
  <c r="H73" i="5"/>
  <c r="H74" i="5"/>
  <c r="H75" i="5"/>
  <c r="H76" i="5"/>
  <c r="H77" i="5"/>
  <c r="H78" i="5"/>
  <c r="H79" i="5"/>
  <c r="H80" i="5"/>
  <c r="H35" i="5"/>
  <c r="H25" i="5"/>
  <c r="H20" i="5"/>
  <c r="H2" i="5"/>
  <c r="H15" i="5"/>
  <c r="H13" i="5"/>
  <c r="H36" i="5"/>
  <c r="H31" i="5"/>
  <c r="H43" i="5"/>
  <c r="H12" i="5"/>
  <c r="H44" i="5"/>
  <c r="H37" i="5"/>
  <c r="H45" i="5"/>
  <c r="H38" i="5"/>
  <c r="H32" i="5"/>
  <c r="H81" i="5"/>
  <c r="H82" i="5"/>
  <c r="H83" i="5"/>
  <c r="H84" i="5"/>
  <c r="H54" i="5"/>
  <c r="H55" i="5"/>
  <c r="H85" i="5"/>
  <c r="H86" i="5"/>
  <c r="H56" i="5"/>
  <c r="H87" i="5"/>
  <c r="H88" i="5"/>
  <c r="H89" i="5"/>
  <c r="H90" i="5"/>
  <c r="H91" i="5"/>
  <c r="H92" i="5"/>
  <c r="H93" i="5"/>
  <c r="H94" i="5"/>
  <c r="H95" i="5"/>
  <c r="H96" i="5"/>
  <c r="H97" i="5"/>
  <c r="H98" i="5"/>
  <c r="H99" i="5"/>
  <c r="H100" i="5"/>
  <c r="H101" i="5"/>
  <c r="H102" i="5"/>
  <c r="H103" i="5"/>
  <c r="H104" i="5"/>
  <c r="H57" i="5"/>
  <c r="H105" i="5"/>
  <c r="H106" i="5"/>
  <c r="H107" i="5"/>
  <c r="H108" i="5"/>
  <c r="H109" i="5"/>
  <c r="H110" i="5"/>
  <c r="H111" i="5"/>
  <c r="H112" i="5"/>
  <c r="H58" i="5"/>
  <c r="H113" i="5"/>
  <c r="H47" i="5"/>
  <c r="G16" i="5"/>
  <c r="G9" i="5"/>
  <c r="G29" i="5"/>
  <c r="G39" i="5"/>
  <c r="G14" i="5"/>
  <c r="G3" i="5"/>
  <c r="G48" i="5"/>
  <c r="G40" i="5"/>
  <c r="G41" i="5"/>
  <c r="G21" i="5"/>
  <c r="G6" i="5"/>
  <c r="G22" i="5"/>
  <c r="G33" i="5"/>
  <c r="G26" i="5"/>
  <c r="G49" i="5"/>
  <c r="G50" i="5"/>
  <c r="G46" i="5"/>
  <c r="G42" i="5"/>
  <c r="G5" i="5"/>
  <c r="G18" i="5"/>
  <c r="G59" i="5"/>
  <c r="G34" i="5"/>
  <c r="G17" i="5"/>
  <c r="G30" i="5"/>
  <c r="G4" i="5"/>
  <c r="G23" i="5"/>
  <c r="G19" i="5"/>
  <c r="G10" i="5"/>
  <c r="G60" i="5"/>
  <c r="G27" i="5"/>
  <c r="G24" i="5"/>
  <c r="G28" i="5"/>
  <c r="G11" i="5"/>
  <c r="G8" i="5"/>
  <c r="G53" i="5"/>
  <c r="G51" i="5"/>
  <c r="G7" i="5"/>
  <c r="G52" i="5"/>
  <c r="G61" i="5"/>
  <c r="G62" i="5"/>
  <c r="G63" i="5"/>
  <c r="G64" i="5"/>
  <c r="G65" i="5"/>
  <c r="G66" i="5"/>
  <c r="G67" i="5"/>
  <c r="G68" i="5"/>
  <c r="G69" i="5"/>
  <c r="G70" i="5"/>
  <c r="G71" i="5"/>
  <c r="G72" i="5"/>
  <c r="G73" i="5"/>
  <c r="G74" i="5"/>
  <c r="G75" i="5"/>
  <c r="G76" i="5"/>
  <c r="G77" i="5"/>
  <c r="G78" i="5"/>
  <c r="G79" i="5"/>
  <c r="G80" i="5"/>
  <c r="G35" i="5"/>
  <c r="G25" i="5"/>
  <c r="G20" i="5"/>
  <c r="G2" i="5"/>
  <c r="G15" i="5"/>
  <c r="G13" i="5"/>
  <c r="G36" i="5"/>
  <c r="G31" i="5"/>
  <c r="G43" i="5"/>
  <c r="G12" i="5"/>
  <c r="G44" i="5"/>
  <c r="G37" i="5"/>
  <c r="G45" i="5"/>
  <c r="G38" i="5"/>
  <c r="G32" i="5"/>
  <c r="G81" i="5"/>
  <c r="G82" i="5"/>
  <c r="G83" i="5"/>
  <c r="G84" i="5"/>
  <c r="G54" i="5"/>
  <c r="G55" i="5"/>
  <c r="G85" i="5"/>
  <c r="G86" i="5"/>
  <c r="G56" i="5"/>
  <c r="G87" i="5"/>
  <c r="G88" i="5"/>
  <c r="G89" i="5"/>
  <c r="G90" i="5"/>
  <c r="G91" i="5"/>
  <c r="G92" i="5"/>
  <c r="G93" i="5"/>
  <c r="G94" i="5"/>
  <c r="G95" i="5"/>
  <c r="G96" i="5"/>
  <c r="G97" i="5"/>
  <c r="G98" i="5"/>
  <c r="G99" i="5"/>
  <c r="G100" i="5"/>
  <c r="G101" i="5"/>
  <c r="G102" i="5"/>
  <c r="G103" i="5"/>
  <c r="G104" i="5"/>
  <c r="G57" i="5"/>
  <c r="G105" i="5"/>
  <c r="G106" i="5"/>
  <c r="G107" i="5"/>
  <c r="G108" i="5"/>
  <c r="G109" i="5"/>
  <c r="G110" i="5"/>
  <c r="G111" i="5"/>
  <c r="G112" i="5"/>
  <c r="G58" i="5"/>
  <c r="G113" i="5"/>
  <c r="G47" i="5"/>
</calcChain>
</file>

<file path=xl/sharedStrings.xml><?xml version="1.0" encoding="utf-8"?>
<sst xmlns="http://schemas.openxmlformats.org/spreadsheetml/2006/main" count="2163" uniqueCount="504">
  <si>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</si>
  <si>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</si>
  <si>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</si>
  <si>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</si>
  <si>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</si>
  <si>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</si>
  <si>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</si>
  <si>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</si>
  <si>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</si>
  <si>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</si>
  <si>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</si>
  <si>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</si>
  <si>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</si>
  <si>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</si>
  <si>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</si>
  <si>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</si>
  <si>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</si>
  <si>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</si>
  <si>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</si>
  <si>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</si>
  <si>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</si>
  <si>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</si>
  <si>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</si>
  <si>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</si>
  <si>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</si>
  <si>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</si>
  <si>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</si>
  <si>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</si>
  <si>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</si>
  <si>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</si>
  <si>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</si>
  <si>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</si>
  <si>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</si>
  <si>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</si>
  <si>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</si>
  <si>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</si>
  <si>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</si>
  <si>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</si>
  <si>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</si>
  <si>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</si>
  <si>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</si>
  <si>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</si>
  <si>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</si>
  <si>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</si>
  <si>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</si>
  <si>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</si>
  <si>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</si>
  <si>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</si>
  <si>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</si>
  <si>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</si>
  <si>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</si>
  <si>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</si>
  <si>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</si>
  <si>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</si>
  <si>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</si>
  <si>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</si>
  <si>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</si>
  <si>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</si>
  <si>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</si>
  <si>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</si>
  <si>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</si>
  <si>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</si>
  <si>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</si>
  <si>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</si>
  <si>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</si>
  <si>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</si>
  <si>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</si>
  <si>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</si>
  <si>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</si>
  <si>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</si>
  <si>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</si>
  <si>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</si>
  <si>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</si>
  <si>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</si>
  <si>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</si>
  <si>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</si>
  <si>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</si>
  <si>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</si>
  <si>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</si>
  <si>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</si>
  <si>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</si>
  <si>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</si>
  <si>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</si>
  <si>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</si>
  <si>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</si>
  <si>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</si>
  <si>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</si>
  <si>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</si>
  <si>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</si>
  <si>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</si>
  <si>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</si>
  <si>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</si>
  <si>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</si>
  <si>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</si>
  <si>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</si>
  <si>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</si>
  <si>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</si>
  <si>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</si>
  <si>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</si>
  <si>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</si>
  <si>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</si>
  <si>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</si>
  <si>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</si>
  <si>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</si>
  <si>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</si>
  <si>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</si>
  <si>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</si>
  <si>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</si>
  <si>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</si>
  <si>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</si>
  <si>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</si>
  <si>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</si>
  <si>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</si>
  <si>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</si>
  <si>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</si>
  <si>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</si>
  <si>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</si>
  <si>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</si>
  <si>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</si>
  <si>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</si>
  <si>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</si>
  <si>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</si>
  <si>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</si>
  <si>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</si>
  <si>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</si>
  <si>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</si>
  <si>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</si>
  <si>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</si>
  <si>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</si>
  <si>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</si>
  <si>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</si>
  <si>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</si>
  <si>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</si>
  <si>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</si>
  <si>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</si>
  <si>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</si>
  <si>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</si>
  <si>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</si>
  <si>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</si>
  <si>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</si>
  <si>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</si>
  <si>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</si>
  <si>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</si>
  <si>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</si>
  <si>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</si>
  <si>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</si>
  <si>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</si>
  <si>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</si>
  <si>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</si>
  <si>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</si>
  <si>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</si>
  <si>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</si>
  <si>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</si>
  <si>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</si>
  <si>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</si>
  <si>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</si>
  <si>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</si>
  <si>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</si>
  <si>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</si>
  <si>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</si>
  <si>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</si>
  <si>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</si>
  <si>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</si>
  <si>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</si>
  <si>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</si>
  <si>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</si>
  <si>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</si>
  <si>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</si>
  <si>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</si>
  <si>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</si>
  <si>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</si>
  <si>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</si>
  <si>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</si>
  <si>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</si>
  <si>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</si>
  <si>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</si>
  <si>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</si>
  <si>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</si>
  <si>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</si>
  <si>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</si>
  <si>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</si>
  <si>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</si>
  <si>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</si>
  <si>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</si>
  <si>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</si>
  <si>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</si>
  <si>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</si>
  <si>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</si>
  <si>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</si>
  <si>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</si>
  <si>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</si>
  <si>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</si>
  <si>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</si>
  <si>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</si>
  <si>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</si>
  <si>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</si>
  <si>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</si>
  <si>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</si>
  <si>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</si>
  <si>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</si>
  <si>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</si>
  <si>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</si>
  <si>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</si>
  <si>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</si>
  <si>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</si>
  <si>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</si>
  <si>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</si>
  <si>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</si>
  <si>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</si>
  <si>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</si>
  <si>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</si>
  <si>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</si>
  <si>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</si>
  <si>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</si>
  <si>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</si>
  <si>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</si>
  <si>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</si>
  <si>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</si>
  <si>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</si>
  <si>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</si>
  <si>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</si>
  <si>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</si>
  <si>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</si>
  <si>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</si>
  <si>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</si>
  <si>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</si>
  <si>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</si>
  <si>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</si>
  <si>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</si>
  <si>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</si>
  <si>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</si>
  <si>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</si>
  <si>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</si>
  <si>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</si>
  <si>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</si>
  <si>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</si>
  <si>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</si>
  <si>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</si>
  <si>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</si>
  <si>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</si>
  <si>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</si>
  <si>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</si>
  <si>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</si>
  <si>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</si>
  <si>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</si>
  <si>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</si>
  <si>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</si>
  <si>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</si>
  <si>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</si>
  <si>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</si>
  <si>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</si>
  <si>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</si>
  <si>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</si>
  <si>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</si>
  <si>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</si>
  <si>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</si>
  <si>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</si>
  <si>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</si>
  <si>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</si>
  <si>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</si>
  <si>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</si>
  <si>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</si>
  <si>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</si>
  <si>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</si>
  <si>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</si>
  <si>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</si>
  <si>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</si>
  <si>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</si>
  <si>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</si>
  <si>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</si>
  <si>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</si>
  <si>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</si>
  <si>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</si>
  <si>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</si>
  <si>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</si>
  <si>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</si>
  <si>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</si>
  <si>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</si>
  <si>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</si>
  <si>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</si>
  <si>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</si>
  <si>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</si>
  <si>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</si>
  <si>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</si>
  <si>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</si>
  <si>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</si>
  <si>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</si>
  <si>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</si>
  <si>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</si>
  <si>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</si>
  <si>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</si>
  <si>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</si>
  <si>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</si>
  <si>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</si>
  <si>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</si>
  <si>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</si>
  <si>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</si>
  <si>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</si>
  <si>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</si>
  <si>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</si>
  <si>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</si>
  <si>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</si>
  <si>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</si>
  <si>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</si>
  <si>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</si>
  <si>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</si>
  <si>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</si>
  <si>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</si>
  <si>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</si>
  <si>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</si>
  <si>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</si>
  <si>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</si>
  <si>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</si>
  <si>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</si>
  <si>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</si>
  <si>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</si>
  <si>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</si>
  <si>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</si>
  <si>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</si>
  <si>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</si>
  <si>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</si>
  <si>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</si>
  <si>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</si>
  <si>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Item</t>
  </si>
  <si>
    <t>Business question</t>
  </si>
  <si>
    <t>How are discounts related to customer ratings and reviews, and how do pricing strategies relate to product performance?</t>
  </si>
  <si>
    <t>Primary audience</t>
  </si>
  <si>
    <t>Jumia marketplace managers and sellers</t>
  </si>
  <si>
    <t>Main decisions</t>
  </si>
  <si>
    <t>Pricing and promotional strategy</t>
  </si>
  <si>
    <t>Key relationship 1</t>
  </si>
  <si>
    <t>Discount vs Reviews</t>
  </si>
  <si>
    <t>Key relationship 2</t>
  </si>
  <si>
    <t>Discount vs Rating</t>
  </si>
  <si>
    <t>Key relationship 3</t>
  </si>
  <si>
    <t>Price vs Rating</t>
  </si>
  <si>
    <t>Key performance measures</t>
  </si>
  <si>
    <t>Rating, Reviews, Discount, Current Price</t>
  </si>
  <si>
    <t>Answer</t>
  </si>
  <si>
    <t>Raw field</t>
  </si>
  <si>
    <t>Needs transformation?</t>
  </si>
  <si>
    <t>Why?</t>
  </si>
  <si>
    <t>No</t>
  </si>
  <si>
    <t>Text identifier; needs duplicate checking</t>
  </si>
  <si>
    <t>Yes</t>
  </si>
  <si>
    <r>
      <t xml:space="preserve">Text with </t>
    </r>
    <r>
      <rPr>
        <sz val="10"/>
        <color theme="1"/>
        <rFont val="Arial Unicode MS"/>
        <family val="2"/>
      </rPr>
      <t>KSh</t>
    </r>
    <r>
      <rPr>
        <sz val="11"/>
        <color theme="1"/>
        <rFont val="Calibri"/>
        <family val="2"/>
        <charset val="1"/>
        <scheme val="minor"/>
      </rPr>
      <t>, commas and one price range</t>
    </r>
  </si>
  <si>
    <t>Old price</t>
  </si>
  <si>
    <t>To validate</t>
  </si>
  <si>
    <t>Source describes it as text percentage</t>
  </si>
  <si>
    <t>Negative values and blanks</t>
  </si>
  <si>
    <r>
      <t xml:space="preserve">Text such as </t>
    </r>
    <r>
      <rPr>
        <sz val="10"/>
        <color theme="1"/>
        <rFont val="Arial Unicode MS"/>
        <family val="2"/>
      </rPr>
      <t>4.5 out of 5</t>
    </r>
    <r>
      <rPr>
        <sz val="11"/>
        <color theme="1"/>
        <rFont val="Calibri"/>
        <family val="2"/>
        <charset val="1"/>
        <scheme val="minor"/>
      </rPr>
      <t>, plus blanks</t>
    </r>
  </si>
  <si>
    <t>Rating</t>
  </si>
  <si>
    <t/>
  </si>
  <si>
    <t>Cleaning Issue</t>
  </si>
  <si>
    <t>Finding in Raw Data</t>
  </si>
  <si>
    <t>Action Taken</t>
  </si>
  <si>
    <t>Validation / Final Result</t>
  </si>
  <si>
    <t>Record count</t>
  </si>
  <si>
    <t>115 rows</t>
  </si>
  <si>
    <t>Used as starting population</t>
  </si>
  <si>
    <t>115 raw records</t>
  </si>
  <si>
    <t>Exact duplicates</t>
  </si>
  <si>
    <t>Removed 3 duplicate rows using Remove Duplicates; retained one original per group</t>
  </si>
  <si>
    <t>112 records remain</t>
  </si>
  <si>
    <t>Missing Review</t>
  </si>
  <si>
    <t>58 blanks in raw data; 55 after duplicates removed</t>
  </si>
  <si>
    <t>0 Review blanks</t>
  </si>
  <si>
    <t>Negative Review</t>
  </si>
  <si>
    <t>57 negative review values</t>
  </si>
  <si>
    <t>Converted negative values to positive counts</t>
  </si>
  <si>
    <t>0 negative reviews</t>
  </si>
  <si>
    <t>Missing Rating</t>
  </si>
  <si>
    <t>55 unrated products</t>
  </si>
  <si>
    <t>Rating text</t>
  </si>
  <si>
    <r>
      <t xml:space="preserve">Values such as </t>
    </r>
    <r>
      <rPr>
        <sz val="10"/>
        <color theme="1"/>
        <rFont val="Arial Unicode MS"/>
        <family val="2"/>
      </rPr>
      <t>4.6 out of 5</t>
    </r>
  </si>
  <si>
    <t>Extract numeric portion and convert to number</t>
  </si>
  <si>
    <t>57 numeric ratings</t>
  </si>
  <si>
    <t>Rating validation</t>
  </si>
  <si>
    <t>Validated against original source</t>
  </si>
  <si>
    <t>Min 2.0, Max 5.0</t>
  </si>
  <si>
    <t>Current Price</t>
  </si>
  <si>
    <t>Remove currency/commas; convert to number</t>
  </si>
  <si>
    <t>1 range handled using midpoint</t>
  </si>
  <si>
    <t>Current Price range</t>
  </si>
  <si>
    <t>(1620 + 1980) / 2</t>
  </si>
  <si>
    <t>KSh 1,800</t>
  </si>
  <si>
    <t>Old Price</t>
  </si>
  <si>
    <t>Old Price range</t>
  </si>
  <si>
    <t>(2200 + 3200) / 2</t>
  </si>
  <si>
    <t>KSh 2,700</t>
  </si>
  <si>
    <t>Validated before transformation; no unnecessary conversion</t>
  </si>
  <si>
    <t>Numeric percentage</t>
  </si>
  <si>
    <t>Header inconsistency</t>
  </si>
  <si>
    <t>Standardized header</t>
  </si>
  <si>
    <t>Other formatting issue</t>
  </si>
  <si>
    <t>Extra spaces in the price-range text</t>
  </si>
  <si>
    <t>Clean numeric values</t>
  </si>
  <si>
    <r>
      <t xml:space="preserve">5 duplicate rows across </t>
    </r>
    <r>
      <rPr>
        <sz val="11"/>
        <color theme="1"/>
        <rFont val="Calibri"/>
        <family val="2"/>
        <charset val="1"/>
        <scheme val="minor"/>
      </rPr>
      <t>2 duplicate groups</t>
    </r>
  </si>
  <si>
    <r>
      <t xml:space="preserve">Blank Review → </t>
    </r>
    <r>
      <rPr>
        <sz val="11"/>
        <color theme="1"/>
        <rFont val="Calibri"/>
        <family val="2"/>
        <charset val="1"/>
        <scheme val="minor"/>
      </rPr>
      <t>0 because blank represents no reviews</t>
    </r>
  </si>
  <si>
    <r>
      <t xml:space="preserve">Blank Rating → </t>
    </r>
    <r>
      <rPr>
        <sz val="11"/>
        <color theme="1"/>
        <rFont val="Calibri"/>
        <family val="2"/>
        <charset val="1"/>
        <scheme val="minor"/>
      </rPr>
      <t>remain blank / Not Rated</t>
    </r>
  </si>
  <si>
    <r>
      <t xml:space="preserve">Ratings actually range from </t>
    </r>
    <r>
      <rPr>
        <sz val="11"/>
        <color theme="1"/>
        <rFont val="Calibri"/>
        <family val="2"/>
        <charset val="1"/>
        <scheme val="minor"/>
      </rPr>
      <t>2.0 to 5.0</t>
    </r>
  </si>
  <si>
    <r>
      <t xml:space="preserve">Text with </t>
    </r>
    <r>
      <rPr>
        <sz val="10"/>
        <color theme="1"/>
        <rFont val="Arial Unicode MS"/>
        <family val="2"/>
      </rPr>
      <t>KSh</t>
    </r>
    <r>
      <rPr>
        <sz val="11"/>
        <color theme="1"/>
        <rFont val="Calibri"/>
        <family val="2"/>
        <charset val="1"/>
        <scheme val="minor"/>
      </rPr>
      <t>, commas; 1 range</t>
    </r>
  </si>
  <si>
    <r>
      <t xml:space="preserve">Source CSV stores values such as </t>
    </r>
    <r>
      <rPr>
        <sz val="10"/>
        <color theme="1"/>
        <rFont val="Arial Unicode MS"/>
        <family val="2"/>
      </rPr>
      <t>38%</t>
    </r>
    <r>
      <rPr>
        <sz val="11"/>
        <color theme="1"/>
        <rFont val="Calibri"/>
        <family val="2"/>
        <charset val="1"/>
        <scheme val="minor"/>
      </rPr>
      <t xml:space="preserve"> as text; Excel import recognized them as numeric percentages</t>
    </r>
  </si>
  <si>
    <r>
      <t>Ratingd</t>
    </r>
    <r>
      <rPr>
        <sz val="11"/>
        <color theme="1"/>
        <rFont val="Calibri"/>
        <family val="2"/>
        <charset val="1"/>
        <scheme val="minor"/>
      </rPr>
      <t xml:space="preserve"> is misspelled</t>
    </r>
  </si>
  <si>
    <r>
      <t xml:space="preserve">Renamed to </t>
    </r>
    <r>
      <rPr>
        <sz val="11"/>
        <color theme="1"/>
        <rFont val="Calibri"/>
        <family val="2"/>
        <charset val="1"/>
        <scheme val="minor"/>
      </rPr>
      <t>Rating</t>
    </r>
  </si>
  <si>
    <r>
      <t xml:space="preserve">Handled with </t>
    </r>
    <r>
      <rPr>
        <sz val="10"/>
        <color theme="1"/>
        <rFont val="Arial Unicode MS"/>
        <family val="2"/>
      </rPr>
      <t>TRIM()</t>
    </r>
    <r>
      <rPr>
        <sz val="11"/>
        <color theme="1"/>
        <rFont val="Calibri"/>
        <family val="2"/>
        <charset val="1"/>
        <scheme val="minor"/>
      </rPr>
      <t xml:space="preserve"> during price cleaning</t>
    </r>
  </si>
  <si>
    <t>Discount Amount</t>
  </si>
  <si>
    <t>Rating Category</t>
  </si>
  <si>
    <t>Discount Category</t>
  </si>
  <si>
    <t>Price Category</t>
  </si>
  <si>
    <t>Min</t>
  </si>
  <si>
    <t>Q1</t>
  </si>
  <si>
    <t>Median</t>
  </si>
  <si>
    <t>Q3</t>
  </si>
  <si>
    <t>Max</t>
  </si>
  <si>
    <t>Enrichment field</t>
  </si>
  <si>
    <t>Rule</t>
  </si>
  <si>
    <t>Old Price − Current Price</t>
  </si>
  <si>
    <t>Poor &lt;3; Average 3–4; Good &gt;4–4.5; Excellent &gt;4.5; blank = Not Rated</t>
  </si>
  <si>
    <t>Low &lt;20%; Medium 20–40%; High &gt;40%</t>
  </si>
  <si>
    <t>Q1/Q3-based thresholds from Current Price distribution</t>
  </si>
  <si>
    <t>Category</t>
  </si>
  <si>
    <t>Low</t>
  </si>
  <si>
    <t>≤ KSh 493</t>
  </si>
  <si>
    <t>Medium</t>
  </si>
  <si>
    <t>&gt; KSh 493 and ≤ KSh 1,669.50</t>
  </si>
  <si>
    <t>High</t>
  </si>
  <si>
    <t>&gt; KSh 1,669.50</t>
  </si>
  <si>
    <t>Enrichment check</t>
  </si>
  <si>
    <t>Result</t>
  </si>
  <si>
    <t>Rating — Poor</t>
  </si>
  <si>
    <t>Rating — Average</t>
  </si>
  <si>
    <t>Rating — Good</t>
  </si>
  <si>
    <t>Rating — Excellent</t>
  </si>
  <si>
    <t>Rating — Not Rated</t>
  </si>
  <si>
    <t>Rating categories total</t>
  </si>
  <si>
    <t>Discount — Low</t>
  </si>
  <si>
    <t>Discount — Medium</t>
  </si>
  <si>
    <t>Discount — High</t>
  </si>
  <si>
    <t>Discount categories total</t>
  </si>
  <si>
    <t>Price — Low</t>
  </si>
  <si>
    <t>Price — Medium</t>
  </si>
  <si>
    <t>Price — High</t>
  </si>
  <si>
    <t>Price categories total</t>
  </si>
  <si>
    <t>Average Current Price</t>
  </si>
  <si>
    <t>Average Old Price</t>
  </si>
  <si>
    <t>Average Discount</t>
  </si>
  <si>
    <t>Average Rating</t>
  </si>
  <si>
    <t>Total Products</t>
  </si>
  <si>
    <t>Total Reviews</t>
  </si>
  <si>
    <t>Most Expensive Product</t>
  </si>
  <si>
    <t>Least Expensive Product</t>
  </si>
  <si>
    <t>Metric</t>
  </si>
  <si>
    <t>KSh 1,186.893</t>
  </si>
  <si>
    <t>KSh 1,811.107</t>
  </si>
  <si>
    <t>3.889474 / 5</t>
  </si>
  <si>
    <t>Most Expensive</t>
  </si>
  <si>
    <t>Least Expensive</t>
  </si>
  <si>
    <t>KSh 3,750 — 32PCS Portable Cordless Drill Set With Cyclic Battery Drive -26 Variable Speed</t>
  </si>
  <si>
    <t>KSh 38 — 3PCS Single Head Knitting Crochet Sweater Needle Set</t>
  </si>
  <si>
    <t>Correlation</t>
  </si>
  <si>
    <t>Rating vs Reviews</t>
  </si>
  <si>
    <t>Rating_Chart</t>
  </si>
  <si>
    <t>Review_Chart</t>
  </si>
  <si>
    <t>R2</t>
  </si>
  <si>
    <t>Current Price vs Rating</t>
  </si>
  <si>
    <t>Price_Chart</t>
  </si>
  <si>
    <t>Rating_Chart 2</t>
  </si>
  <si>
    <t>Top 10 by Discount</t>
  </si>
  <si>
    <t>Top 10 by Reviews</t>
  </si>
  <si>
    <t>Top 10 by Rating</t>
  </si>
  <si>
    <t>Five Lowest-Rated Products</t>
  </si>
  <si>
    <t>High Discount + Poor Rating</t>
  </si>
  <si>
    <t>High Discounts + Little Engagement</t>
  </si>
  <si>
    <t>Strong Customer Demand</t>
  </si>
  <si>
    <t>Average</t>
  </si>
  <si>
    <t>Many Reviews + Average Ratings</t>
  </si>
  <si>
    <t>Row Labels</t>
  </si>
  <si>
    <t>Grand Total</t>
  </si>
  <si>
    <t>Average of Review</t>
  </si>
  <si>
    <t>Count of Product</t>
  </si>
  <si>
    <t>Discount Category vs Reviews</t>
  </si>
  <si>
    <t>Rating Category vs Reviews</t>
  </si>
  <si>
    <t>Excellent</t>
  </si>
  <si>
    <t>Good</t>
  </si>
  <si>
    <t>Not Rated</t>
  </si>
  <si>
    <t>Poor</t>
  </si>
  <si>
    <t>Price Category vs Rating</t>
  </si>
  <si>
    <t>Average of Rating</t>
  </si>
  <si>
    <t>Discount Category × Rating Category</t>
  </si>
  <si>
    <t>Column Labels</t>
  </si>
  <si>
    <t>High Discount + Little Engagement</t>
  </si>
  <si>
    <t>Strong Demand + Average Rating</t>
  </si>
  <si>
    <t>High Price + Poor Rating</t>
  </si>
  <si>
    <t>Jumia Product Performance Dashboard</t>
  </si>
  <si>
    <t>Pricing • Discounts • Customer Reviews • Product Performance</t>
  </si>
  <si>
    <t>Listing ID</t>
  </si>
  <si>
    <t>Sum of Review</t>
  </si>
  <si>
    <t>Top 10 Items by Sum of Review</t>
  </si>
  <si>
    <t>Average of Discount</t>
  </si>
  <si>
    <t>TOP 10 PRODUCTS BY REVIEWS</t>
  </si>
  <si>
    <t>TOP 10 PRODUCTS BY RATING</t>
  </si>
  <si>
    <t>TOP 10 PRODUCTS BY DISCOUNT</t>
  </si>
  <si>
    <t>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</si>
</sst>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 / 5&quot;"/>
  </numFmts>
  <fonts count="25"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sz val="10"/>
      <color theme="1"/>
      <name val="Arial Unicode MS"/>
      <family val="2"/>
    </font>
    <font>
      <sz val="11"/>
      <color theme="1"/>
      <name val="Calibri"/>
      <family val="2"/>
      <scheme val="minor"/>
    </font>
    <font>
      <b/>
      <sz val="11"/>
      <color theme="1"/>
      <name val="Calibri"/>
      <family val="2"/>
      <scheme val="minor"/>
    </font>
    <font>
      <b/>
      <sz val="20"/>
      <color theme="1"/>
      <name val="Arial Black"/>
      <family val="2"/>
    </font>
    <font>
      <b/>
      <sz val="14"/>
      <color theme="1"/>
      <name val="Calibri"/>
      <family val="2"/>
      <scheme val="minor"/>
    </font>
    <font>
      <b/>
      <sz val="12"/>
      <color theme="1"/>
      <name val="Calibri"/>
      <family val="2"/>
      <scheme val="minor"/>
    </font>
    <font>
      <b/>
      <sz val="20"/>
      <color rgb="FFFF3300"/>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9"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horizontal="center" vertical="center"/>
    </xf>
    <xf numFmtId="0" fontId="0" fillId="0" borderId="0" xfId="0" applyAlignment="1">
      <alignment vertical="center"/>
    </xf>
    <xf numFmtId="0" fontId="16" fillId="0" borderId="0" xfId="0" applyFont="1" applyAlignment="1">
      <alignment vertical="center" wrapText="1"/>
    </xf>
    <xf numFmtId="0" fontId="19" fillId="0" borderId="0" xfId="0" applyFont="1" applyAlignment="1">
      <alignment vertical="center"/>
    </xf>
    <xf numFmtId="0" fontId="18" fillId="0" borderId="0" xfId="0" applyFont="1" applyAlignment="1">
      <alignment vertical="center"/>
    </xf>
    <xf numFmtId="0" fontId="20" fillId="0" borderId="0" xfId="0" applyFont="1" applyAlignment="1">
      <alignment horizontal="center" vertical="center"/>
    </xf>
    <xf numFmtId="0" fontId="20" fillId="0" borderId="0" xfId="0" applyFont="1"/>
    <xf numFmtId="0" fontId="16" fillId="0" borderId="0" xfId="0" applyFont="1" applyAlignment="1">
      <alignment horizontal="right" vertical="center" wrapText="1"/>
    </xf>
    <xf numFmtId="0" fontId="19" fillId="0" borderId="0" xfId="0" applyFont="1" applyAlignment="1">
      <alignment horizontal="right" vertical="center" wrapText="1"/>
    </xf>
    <xf numFmtId="9" fontId="19" fillId="0" borderId="0" xfId="0" applyNumberFormat="1" applyFont="1" applyAlignment="1">
      <alignment horizontal="right" vertical="center" wrapText="1"/>
    </xf>
    <xf numFmtId="0" fontId="0" fillId="0" borderId="0" xfId="0" pivotButton="1"/>
    <xf numFmtId="0" fontId="0" fillId="0" borderId="0" xfId="0" applyAlignment="1">
      <alignment horizontal="left"/>
    </xf>
    <xf numFmtId="0" fontId="16" fillId="0" borderId="0" xfId="0" applyFont="1" applyAlignment="1">
      <alignment horizontal="left" vertical="center" wrapText="1"/>
    </xf>
    <xf numFmtId="164" fontId="0" fillId="0" borderId="0" xfId="0" applyNumberFormat="1"/>
    <xf numFmtId="0" fontId="0" fillId="33" borderId="0" xfId="0" applyFill="1"/>
    <xf numFmtId="0" fontId="23" fillId="33" borderId="0" xfId="0" applyFont="1" applyFill="1" applyAlignment="1">
      <alignment horizontal="center"/>
    </xf>
    <xf numFmtId="0" fontId="23" fillId="35" borderId="10" xfId="0" applyFont="1" applyFill="1" applyBorder="1" applyAlignment="1">
      <alignment horizontal="center"/>
    </xf>
    <xf numFmtId="0" fontId="0" fillId="34" borderId="10" xfId="0" applyFill="1" applyBorder="1"/>
    <xf numFmtId="9" fontId="0" fillId="34" borderId="10" xfId="0" applyNumberFormat="1" applyFill="1" applyBorder="1"/>
    <xf numFmtId="2" fontId="0" fillId="0" borderId="0" xfId="0" applyNumberFormat="1"/>
    <xf numFmtId="0" fontId="0" fillId="34" borderId="10" xfId="0" applyFill="1" applyBorder="1" applyAlignment="1">
      <alignment horizontal="left" wrapText="1"/>
    </xf>
    <xf numFmtId="0" fontId="20" fillId="36" borderId="10" xfId="0" applyFont="1" applyFill="1" applyBorder="1" applyAlignment="1">
      <alignment horizontal="center"/>
    </xf>
    <xf numFmtId="0" fontId="23" fillId="35" borderId="10" xfId="0" applyFont="1" applyFill="1" applyBorder="1" applyAlignment="1">
      <alignment horizontal="center"/>
    </xf>
    <xf numFmtId="0" fontId="24" fillId="33" borderId="0" xfId="0" applyFont="1" applyFill="1" applyAlignment="1">
      <alignment horizontal="center"/>
    </xf>
    <xf numFmtId="0" fontId="21" fillId="33" borderId="0" xfId="0" applyFont="1" applyFill="1" applyAlignment="1">
      <alignment horizontal="center"/>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Discount % Vs Review</a:t>
            </a:r>
          </a:p>
        </c:rich>
      </c:tx>
      <c:overlay val="0"/>
    </c:title>
    <c:autoTitleDeleted val="0"/>
    <c:plotArea>
      <c:layout/>
      <c:scatterChart>
        <c:scatterStyle val="lineMarker"/>
        <c:varyColors val="0"/>
        <c:ser>
          <c:idx val="0"/>
          <c:order val="0"/>
          <c:tx>
            <c:strRef>
              <c:f>'Analysis Working'!$E$1</c:f>
              <c:strCache>
                <c:ptCount val="1"/>
                <c:pt idx="0">
                  <c:v>Review</c:v>
                </c:pt>
              </c:strCache>
            </c:strRef>
          </c:tx>
          <c:spPr>
            <a:ln w="28575">
              <a:noFill/>
            </a:ln>
          </c:spPr>
          <c:trendline>
            <c:trendlineType val="linear"/>
            <c:dispRSqr val="1"/>
            <c:dispEq val="1"/>
            <c:trendlineLbl>
              <c:layout>
                <c:manualLayout>
                  <c:x val="0.13756705516194609"/>
                  <c:y val="-0.42758160067990336"/>
                </c:manualLayout>
              </c:layout>
              <c:tx>
                <c:rich>
                  <a:bodyPr/>
                  <a:lstStyle/>
                  <a:p>
                    <a:pPr>
                      <a:defRPr/>
                    </a:pPr>
                    <a:r>
                      <a:rPr lang="en-US" baseline="0"/>
                      <a:t>
R² = 0.0001</a:t>
                    </a:r>
                    <a:endParaRPr lang="en-US"/>
                  </a:p>
                </c:rich>
              </c:tx>
              <c:numFmt formatCode="General" sourceLinked="0"/>
            </c:trendlineLbl>
          </c:trendline>
          <c:xVal>
            <c:numRef>
              <c:f>'Analysis Working'!$D$2:$D$113</c:f>
              <c:numCache>
                <c:formatCode>0%</c:formatCode>
                <c:ptCount val="112"/>
                <c:pt idx="0">
                  <c:v>0.49</c:v>
                </c:pt>
                <c:pt idx="1">
                  <c:v>0.24</c:v>
                </c:pt>
                <c:pt idx="2">
                  <c:v>0.35</c:v>
                </c:pt>
                <c:pt idx="3">
                  <c:v>0.49</c:v>
                </c:pt>
                <c:pt idx="4">
                  <c:v>0.34</c:v>
                </c:pt>
                <c:pt idx="5">
                  <c:v>0.41</c:v>
                </c:pt>
                <c:pt idx="6">
                  <c:v>0.27</c:v>
                </c:pt>
                <c:pt idx="7">
                  <c:v>0.25</c:v>
                </c:pt>
                <c:pt idx="8">
                  <c:v>0.3</c:v>
                </c:pt>
                <c:pt idx="9">
                  <c:v>0.27</c:v>
                </c:pt>
                <c:pt idx="10">
                  <c:v>0.45</c:v>
                </c:pt>
                <c:pt idx="11">
                  <c:v>0.22</c:v>
                </c:pt>
                <c:pt idx="12">
                  <c:v>0.52</c:v>
                </c:pt>
                <c:pt idx="13">
                  <c:v>0.09</c:v>
                </c:pt>
                <c:pt idx="14">
                  <c:v>0.47</c:v>
                </c:pt>
                <c:pt idx="15">
                  <c:v>0.23</c:v>
                </c:pt>
                <c:pt idx="16">
                  <c:v>0.55000000000000004</c:v>
                </c:pt>
                <c:pt idx="17">
                  <c:v>0.53</c:v>
                </c:pt>
                <c:pt idx="18">
                  <c:v>0.32</c:v>
                </c:pt>
                <c:pt idx="19">
                  <c:v>0.47</c:v>
                </c:pt>
                <c:pt idx="20">
                  <c:v>0.34</c:v>
                </c:pt>
                <c:pt idx="21">
                  <c:v>0.2</c:v>
                </c:pt>
                <c:pt idx="22">
                  <c:v>0.18</c:v>
                </c:pt>
                <c:pt idx="23">
                  <c:v>0.54</c:v>
                </c:pt>
                <c:pt idx="24">
                  <c:v>0.52</c:v>
                </c:pt>
                <c:pt idx="25">
                  <c:v>0.48</c:v>
                </c:pt>
                <c:pt idx="26">
                  <c:v>0.33</c:v>
                </c:pt>
                <c:pt idx="27">
                  <c:v>0.54</c:v>
                </c:pt>
                <c:pt idx="28">
                  <c:v>0.5</c:v>
                </c:pt>
                <c:pt idx="29">
                  <c:v>0.47</c:v>
                </c:pt>
                <c:pt idx="30">
                  <c:v>0.37</c:v>
                </c:pt>
                <c:pt idx="31">
                  <c:v>0.47</c:v>
                </c:pt>
                <c:pt idx="32">
                  <c:v>0.45</c:v>
                </c:pt>
                <c:pt idx="33">
                  <c:v>0.43</c:v>
                </c:pt>
                <c:pt idx="34">
                  <c:v>0.42</c:v>
                </c:pt>
                <c:pt idx="35">
                  <c:v>0.35</c:v>
                </c:pt>
                <c:pt idx="36">
                  <c:v>0.13</c:v>
                </c:pt>
                <c:pt idx="37">
                  <c:v>0.55000000000000004</c:v>
                </c:pt>
                <c:pt idx="38">
                  <c:v>0.45</c:v>
                </c:pt>
                <c:pt idx="39">
                  <c:v>0.43</c:v>
                </c:pt>
                <c:pt idx="40">
                  <c:v>0.39</c:v>
                </c:pt>
                <c:pt idx="41">
                  <c:v>0.28999999999999998</c:v>
                </c:pt>
                <c:pt idx="42">
                  <c:v>0.26</c:v>
                </c:pt>
                <c:pt idx="43">
                  <c:v>0.19</c:v>
                </c:pt>
                <c:pt idx="44">
                  <c:v>0.49</c:v>
                </c:pt>
                <c:pt idx="45">
                  <c:v>0.53</c:v>
                </c:pt>
                <c:pt idx="46">
                  <c:v>0.51</c:v>
                </c:pt>
                <c:pt idx="47">
                  <c:v>0.46</c:v>
                </c:pt>
                <c:pt idx="48">
                  <c:v>0.38</c:v>
                </c:pt>
                <c:pt idx="49">
                  <c:v>0.38</c:v>
                </c:pt>
                <c:pt idx="50">
                  <c:v>0.37</c:v>
                </c:pt>
                <c:pt idx="51">
                  <c:v>0.5</c:v>
                </c:pt>
                <c:pt idx="52">
                  <c:v>0.49</c:v>
                </c:pt>
                <c:pt idx="53">
                  <c:v>0.49</c:v>
                </c:pt>
                <c:pt idx="54">
                  <c:v>0.46</c:v>
                </c:pt>
                <c:pt idx="55">
                  <c:v>0.4</c:v>
                </c:pt>
                <c:pt idx="56">
                  <c:v>0.21</c:v>
                </c:pt>
                <c:pt idx="57">
                  <c:v>0.64</c:v>
                </c:pt>
                <c:pt idx="58">
                  <c:v>0.61</c:v>
                </c:pt>
                <c:pt idx="59">
                  <c:v>0.55000000000000004</c:v>
                </c:pt>
                <c:pt idx="60">
                  <c:v>0.5</c:v>
                </c:pt>
                <c:pt idx="61">
                  <c:v>0.5</c:v>
                </c:pt>
                <c:pt idx="62">
                  <c:v>0.5</c:v>
                </c:pt>
                <c:pt idx="63">
                  <c:v>0.5</c:v>
                </c:pt>
                <c:pt idx="64">
                  <c:v>0.5</c:v>
                </c:pt>
                <c:pt idx="65">
                  <c:v>0.49</c:v>
                </c:pt>
                <c:pt idx="66">
                  <c:v>0.49</c:v>
                </c:pt>
                <c:pt idx="67">
                  <c:v>0.49</c:v>
                </c:pt>
                <c:pt idx="68">
                  <c:v>0.49</c:v>
                </c:pt>
                <c:pt idx="69">
                  <c:v>0.49</c:v>
                </c:pt>
                <c:pt idx="70">
                  <c:v>0.49</c:v>
                </c:pt>
                <c:pt idx="71">
                  <c:v>0.49</c:v>
                </c:pt>
                <c:pt idx="72">
                  <c:v>0.49</c:v>
                </c:pt>
                <c:pt idx="73">
                  <c:v>0.49</c:v>
                </c:pt>
                <c:pt idx="74">
                  <c:v>0.48</c:v>
                </c:pt>
                <c:pt idx="75">
                  <c:v>0.48</c:v>
                </c:pt>
                <c:pt idx="76">
                  <c:v>0.48</c:v>
                </c:pt>
                <c:pt idx="77">
                  <c:v>0.47</c:v>
                </c:pt>
                <c:pt idx="78">
                  <c:v>0.47</c:v>
                </c:pt>
                <c:pt idx="79">
                  <c:v>0.47</c:v>
                </c:pt>
                <c:pt idx="80">
                  <c:v>0.46</c:v>
                </c:pt>
                <c:pt idx="81">
                  <c:v>0.45</c:v>
                </c:pt>
                <c:pt idx="82">
                  <c:v>0.43</c:v>
                </c:pt>
                <c:pt idx="83">
                  <c:v>0.43</c:v>
                </c:pt>
                <c:pt idx="84">
                  <c:v>0.42</c:v>
                </c:pt>
                <c:pt idx="85">
                  <c:v>0.42</c:v>
                </c:pt>
                <c:pt idx="86">
                  <c:v>0.42</c:v>
                </c:pt>
                <c:pt idx="87">
                  <c:v>0.41</c:v>
                </c:pt>
                <c:pt idx="88">
                  <c:v>0.41</c:v>
                </c:pt>
                <c:pt idx="89">
                  <c:v>0.38</c:v>
                </c:pt>
                <c:pt idx="90">
                  <c:v>0.38</c:v>
                </c:pt>
                <c:pt idx="91">
                  <c:v>0.36</c:v>
                </c:pt>
                <c:pt idx="92">
                  <c:v>0.34</c:v>
                </c:pt>
                <c:pt idx="93">
                  <c:v>0.34</c:v>
                </c:pt>
                <c:pt idx="94">
                  <c:v>0.33</c:v>
                </c:pt>
                <c:pt idx="95">
                  <c:v>0.27</c:v>
                </c:pt>
                <c:pt idx="96">
                  <c:v>0.24</c:v>
                </c:pt>
                <c:pt idx="97">
                  <c:v>0.22</c:v>
                </c:pt>
                <c:pt idx="98">
                  <c:v>0.14000000000000001</c:v>
                </c:pt>
                <c:pt idx="99">
                  <c:v>0.14000000000000001</c:v>
                </c:pt>
                <c:pt idx="100">
                  <c:v>0.11</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'Analysis Working'!$E$2:$E$113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yVal>
          <c:smooth val="0"/>
          <c:extLst>
            <c:ext xmlns:c16="http://schemas.microsoft.com/office/drawing/2014/chart" uri="{C3380CC4-5D6E-409C-BE32-E72D297353CC}">
              <c16:uniqueId val="{00000001-A29C-4797-AB8C-199DA0F03E74}"/>
            </c:ext>
          </c:extLst>
        </c:ser>
        <c:dLbls>
          <c:showLegendKey val="0"/>
          <c:showVal val="0"/>
          <c:showCatName val="0"/>
          <c:showSerName val="0"/>
          <c:showPercent val="0"/>
          <c:showBubbleSize val="0"/>
        </c:dLbls>
        <c:axId val="501198784"/>
        <c:axId val="501199936"/>
      </c:scatterChart>
      <c:valAx>
        <c:axId val="501198784"/>
        <c:scaling>
          <c:orientation val="minMax"/>
        </c:scaling>
        <c:delete val="0"/>
        <c:axPos val="b"/>
        <c:title>
          <c:tx>
            <c:rich>
              <a:bodyPr/>
              <a:lstStyle/>
              <a:p>
                <a:pPr>
                  <a:defRPr/>
                </a:pPr>
                <a:r>
                  <a:rPr lang="en-US"/>
                  <a:t>Discount %</a:t>
                </a:r>
              </a:p>
            </c:rich>
          </c:tx>
          <c:overlay val="0"/>
        </c:title>
        <c:numFmt formatCode="0%" sourceLinked="1"/>
        <c:majorTickMark val="out"/>
        <c:minorTickMark val="none"/>
        <c:tickLblPos val="nextTo"/>
        <c:crossAx val="501199936"/>
        <c:crosses val="autoZero"/>
        <c:crossBetween val="midCat"/>
      </c:valAx>
      <c:valAx>
        <c:axId val="501199936"/>
        <c:scaling>
          <c:orientation val="minMax"/>
        </c:scaling>
        <c:delete val="0"/>
        <c:axPos val="l"/>
        <c:majorGridlines/>
        <c:title>
          <c:tx>
            <c:rich>
              <a:bodyPr rot="-5400000" vert="horz"/>
              <a:lstStyle/>
              <a:p>
                <a:pPr>
                  <a:defRPr/>
                </a:pPr>
                <a:r>
                  <a:rPr lang="en-US"/>
                  <a:t>Review Counts</a:t>
                </a:r>
              </a:p>
            </c:rich>
          </c:tx>
          <c:overlay val="0"/>
        </c:title>
        <c:numFmt formatCode="General" sourceLinked="1"/>
        <c:majorTickMark val="out"/>
        <c:minorTickMark val="none"/>
        <c:tickLblPos val="nextTo"/>
        <c:crossAx val="501198784"/>
        <c:crosses val="autoZero"/>
        <c:crossBetween val="midCat"/>
      </c:valAx>
    </c:plotArea>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Rating Vs Review</a:t>
            </a:r>
          </a:p>
        </c:rich>
      </c:tx>
      <c:overlay val="0"/>
    </c:title>
    <c:autoTitleDeleted val="0"/>
    <c:plotArea>
      <c:layout/>
      <c:scatterChart>
        <c:scatterStyle val="lineMarker"/>
        <c:varyColors val="0"/>
        <c:ser>
          <c:idx val="0"/>
          <c:order val="0"/>
          <c:tx>
            <c:strRef>
              <c:f>'Analysis Working'!$H$1</c:f>
              <c:strCache>
                <c:ptCount val="1"/>
                <c:pt idx="0">
                  <c:v>Review_Chart</c:v>
                </c:pt>
              </c:strCache>
            </c:strRef>
          </c:tx>
          <c:spPr>
            <a:ln w="28575">
              <a:noFill/>
            </a:ln>
          </c:spPr>
          <c:trendline>
            <c:trendlineType val="linear"/>
            <c:dispRSqr val="1"/>
            <c:dispEq val="1"/>
            <c:trendlineLbl>
              <c:layout>
                <c:manualLayout>
                  <c:x val="-0.25577237233312639"/>
                  <c:y val="-0.2559188573820057"/>
                </c:manualLayout>
              </c:layout>
              <c:tx>
                <c:rich>
                  <a:bodyPr/>
                  <a:lstStyle/>
                  <a:p>
                    <a:pPr>
                      <a:defRPr/>
                    </a:pPr>
                    <a:r>
                      <a:rPr lang="en-US" baseline="0"/>
                      <a:t>
R² = 0.0033</a:t>
                    </a:r>
                    <a:endParaRPr lang="en-US"/>
                  </a:p>
                </c:rich>
              </c:tx>
              <c:numFmt formatCode="General" sourceLinked="0"/>
            </c:trendlineLbl>
          </c:trendline>
          <c:xVal>
            <c:numRef>
              <c:f>'Analysis Working'!$G$2:$G$113</c:f>
              <c:numCache>
                <c:formatCode>General</c:formatCode>
                <c:ptCount val="112"/>
                <c:pt idx="0">
                  <c:v>2.8</c:v>
                </c:pt>
                <c:pt idx="1">
                  <c:v>4.5999999999999996</c:v>
                </c:pt>
                <c:pt idx="2">
                  <c:v>4.5999999999999996</c:v>
                </c:pt>
                <c:pt idx="3">
                  <c:v>4.5999999999999996</c:v>
                </c:pt>
                <c:pt idx="4">
                  <c:v>4.7</c:v>
                </c:pt>
                <c:pt idx="5">
                  <c:v>4.3</c:v>
                </c:pt>
                <c:pt idx="6">
                  <c:v>4.5</c:v>
                </c:pt>
                <c:pt idx="7">
                  <c:v>4.5999999999999996</c:v>
                </c:pt>
                <c:pt idx="8">
                  <c:v>4.0999999999999996</c:v>
                </c:pt>
                <c:pt idx="9">
                  <c:v>4.7</c:v>
                </c:pt>
                <c:pt idx="10">
                  <c:v>2.6</c:v>
                </c:pt>
                <c:pt idx="11">
                  <c:v>2.9</c:v>
                </c:pt>
                <c:pt idx="12">
                  <c:v>2.7</c:v>
                </c:pt>
                <c:pt idx="13">
                  <c:v>4</c:v>
                </c:pt>
                <c:pt idx="14">
                  <c:v>4.0999999999999996</c:v>
                </c:pt>
                <c:pt idx="15">
                  <c:v>4.4000000000000004</c:v>
                </c:pt>
                <c:pt idx="16">
                  <c:v>2.1</c:v>
                </c:pt>
                <c:pt idx="17">
                  <c:v>3.3</c:v>
                </c:pt>
                <c:pt idx="18">
                  <c:v>3.8</c:v>
                </c:pt>
                <c:pt idx="19">
                  <c:v>4.8</c:v>
                </c:pt>
                <c:pt idx="20">
                  <c:v>4.7</c:v>
                </c:pt>
                <c:pt idx="21">
                  <c:v>4.0999999999999996</c:v>
                </c:pt>
                <c:pt idx="22">
                  <c:v>3.8</c:v>
                </c:pt>
                <c:pt idx="23">
                  <c:v>3</c:v>
                </c:pt>
                <c:pt idx="24">
                  <c:v>4.3</c:v>
                </c:pt>
                <c:pt idx="25">
                  <c:v>4.3</c:v>
                </c:pt>
                <c:pt idx="26">
                  <c:v>4.2</c:v>
                </c:pt>
                <c:pt idx="27">
                  <c:v>4.3</c:v>
                </c:pt>
                <c:pt idx="28">
                  <c:v>2.2999999999999998</c:v>
                </c:pt>
                <c:pt idx="29">
                  <c:v>2.1</c:v>
                </c:pt>
                <c:pt idx="30">
                  <c:v>4.7</c:v>
                </c:pt>
                <c:pt idx="31">
                  <c:v>2.2000000000000002</c:v>
                </c:pt>
                <c:pt idx="32">
                  <c:v>2.2000000000000002</c:v>
                </c:pt>
                <c:pt idx="33">
                  <c:v>2.2999999999999998</c:v>
                </c:pt>
                <c:pt idx="34">
                  <c:v>4.5</c:v>
                </c:pt>
                <c:pt idx="35">
                  <c:v>4</c:v>
                </c:pt>
                <c:pt idx="36">
                  <c:v>2.5</c:v>
                </c:pt>
                <c:pt idx="37">
                  <c:v>4.8</c:v>
                </c:pt>
                <c:pt idx="38">
                  <c:v>3.8</c:v>
                </c:pt>
                <c:pt idx="39">
                  <c:v>3</c:v>
                </c:pt>
                <c:pt idx="40">
                  <c:v>3</c:v>
                </c:pt>
                <c:pt idx="41">
                  <c:v>3</c:v>
                </c:pt>
                <c:pt idx="42">
                  <c:v>4.8</c:v>
                </c:pt>
                <c:pt idx="43">
                  <c:v>4.5999999999999996</c:v>
                </c:pt>
                <c:pt idx="44">
                  <c:v>5</c:v>
                </c:pt>
                <c:pt idx="45">
                  <c:v>5</c:v>
                </c:pt>
                <c:pt idx="46">
                  <c:v>5</c:v>
                </c:pt>
                <c:pt idx="47">
                  <c:v>5</c:v>
                </c:pt>
                <c:pt idx="48">
                  <c:v>4.5</c:v>
                </c:pt>
                <c:pt idx="49">
                  <c:v>4.5</c:v>
                </c:pt>
                <c:pt idx="50">
                  <c:v>4</c:v>
                </c:pt>
                <c:pt idx="51">
                  <c:v>2</c:v>
                </c:pt>
                <c:pt idx="52">
                  <c:v>4</c:v>
                </c:pt>
                <c:pt idx="53">
                  <c:v>5</c:v>
                </c:pt>
                <c:pt idx="54">
                  <c:v>3</c:v>
                </c:pt>
                <c:pt idx="55">
                  <c:v>5</c:v>
                </c:pt>
                <c:pt idx="56">
                  <c:v>5</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xVal>
          <c:yVal>
            <c:numRef>
              <c:f>'Analysis Working'!$H$2:$H$113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yVal>
          <c:smooth val="0"/>
          <c:extLst>
            <c:ext xmlns:c16="http://schemas.microsoft.com/office/drawing/2014/chart" uri="{C3380CC4-5D6E-409C-BE32-E72D297353CC}">
              <c16:uniqueId val="{00000001-9965-41D7-8ED2-0B43794B8F88}"/>
            </c:ext>
          </c:extLst>
        </c:ser>
        <c:dLbls>
          <c:showLegendKey val="0"/>
          <c:showVal val="0"/>
          <c:showCatName val="0"/>
          <c:showSerName val="0"/>
          <c:showPercent val="0"/>
          <c:showBubbleSize val="0"/>
        </c:dLbls>
        <c:axId val="563578560"/>
        <c:axId val="563579136"/>
      </c:scatterChart>
      <c:valAx>
        <c:axId val="563578560"/>
        <c:scaling>
          <c:orientation val="minMax"/>
        </c:scaling>
        <c:delete val="0"/>
        <c:axPos val="b"/>
        <c:title>
          <c:tx>
            <c:rich>
              <a:bodyPr/>
              <a:lstStyle/>
              <a:p>
                <a:pPr>
                  <a:defRPr/>
                </a:pPr>
                <a:r>
                  <a:rPr lang="en-US"/>
                  <a:t>Rating</a:t>
                </a:r>
              </a:p>
            </c:rich>
          </c:tx>
          <c:overlay val="0"/>
        </c:title>
        <c:numFmt formatCode="General" sourceLinked="1"/>
        <c:majorTickMark val="out"/>
        <c:minorTickMark val="none"/>
        <c:tickLblPos val="nextTo"/>
        <c:crossAx val="563579136"/>
        <c:crosses val="autoZero"/>
        <c:crossBetween val="midCat"/>
      </c:valAx>
      <c:valAx>
        <c:axId val="563579136"/>
        <c:scaling>
          <c:orientation val="minMax"/>
        </c:scaling>
        <c:delete val="0"/>
        <c:axPos val="l"/>
        <c:majorGridlines/>
        <c:title>
          <c:tx>
            <c:rich>
              <a:bodyPr rot="-5400000" vert="horz"/>
              <a:lstStyle/>
              <a:p>
                <a:pPr>
                  <a:defRPr/>
                </a:pPr>
                <a:r>
                  <a:rPr lang="en-US"/>
                  <a:t>Review</a:t>
                </a:r>
                <a:r>
                  <a:rPr lang="en-US" baseline="0"/>
                  <a:t> Counts</a:t>
                </a:r>
              </a:p>
            </c:rich>
          </c:tx>
          <c:overlay val="0"/>
        </c:title>
        <c:numFmt formatCode="General" sourceLinked="1"/>
        <c:majorTickMark val="out"/>
        <c:minorTickMark val="none"/>
        <c:tickLblPos val="nextTo"/>
        <c:crossAx val="563578560"/>
        <c:crosses val="autoZero"/>
        <c:crossBetween val="midCat"/>
      </c:valAx>
    </c:plotArea>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Current Price Vs Rating</a:t>
            </a:r>
          </a:p>
        </c:rich>
      </c:tx>
      <c:overlay val="0"/>
    </c:title>
    <c:autoTitleDeleted val="0"/>
    <c:plotArea>
      <c:layout/>
      <c:scatterChart>
        <c:scatterStyle val="lineMarker"/>
        <c:varyColors val="0"/>
        <c:ser>
          <c:idx val="0"/>
          <c:order val="0"/>
          <c:tx>
            <c:strRef>
              <c:f>'Analysis Working'!$J$1</c:f>
              <c:strCache>
                <c:ptCount val="1"/>
                <c:pt idx="0">
                  <c:v>Rating_Chart 2</c:v>
                </c:pt>
              </c:strCache>
            </c:strRef>
          </c:tx>
          <c:spPr>
            <a:ln w="28575">
              <a:noFill/>
            </a:ln>
          </c:spPr>
          <c:trendline>
            <c:trendlineType val="linear"/>
            <c:dispRSqr val="1"/>
            <c:dispEq val="1"/>
            <c:trendlineLbl>
              <c:layout>
                <c:manualLayout>
                  <c:x val="4.2999413695417509E-2"/>
                  <c:y val="0.29906977453141859"/>
                </c:manualLayout>
              </c:layout>
              <c:tx>
                <c:rich>
                  <a:bodyPr/>
                  <a:lstStyle/>
                  <a:p>
                    <a:pPr>
                      <a:defRPr/>
                    </a:pPr>
                    <a:r>
                      <a:rPr lang="en-US" baseline="0"/>
                      <a:t>
R² = 0.0121</a:t>
                    </a:r>
                    <a:endParaRPr lang="en-US"/>
                  </a:p>
                </c:rich>
              </c:tx>
              <c:numFmt formatCode="General" sourceLinked="0"/>
            </c:trendlineLbl>
          </c:trendline>
          <c:xVal>
            <c:numRef>
              <c:f>'Analysis Working'!$I$2:$I$113</c:f>
              <c:numCache>
                <c:formatCode>General</c:formatCode>
                <c:ptCount val="112"/>
                <c:pt idx="0">
                  <c:v>445</c:v>
                </c:pt>
                <c:pt idx="1">
                  <c:v>2319</c:v>
                </c:pt>
                <c:pt idx="2">
                  <c:v>420</c:v>
                </c:pt>
                <c:pt idx="3">
                  <c:v>998</c:v>
                </c:pt>
                <c:pt idx="4">
                  <c:v>990</c:v>
                </c:pt>
                <c:pt idx="5">
                  <c:v>389</c:v>
                </c:pt>
                <c:pt idx="6">
                  <c:v>1980</c:v>
                </c:pt>
                <c:pt idx="7">
                  <c:v>2199</c:v>
                </c:pt>
                <c:pt idx="8">
                  <c:v>1758</c:v>
                </c:pt>
                <c:pt idx="9">
                  <c:v>1940</c:v>
                </c:pt>
                <c:pt idx="10">
                  <c:v>382</c:v>
                </c:pt>
                <c:pt idx="11">
                  <c:v>1220</c:v>
                </c:pt>
                <c:pt idx="12">
                  <c:v>325</c:v>
                </c:pt>
                <c:pt idx="13">
                  <c:v>2999</c:v>
                </c:pt>
                <c:pt idx="14">
                  <c:v>527</c:v>
                </c:pt>
                <c:pt idx="15">
                  <c:v>1650</c:v>
                </c:pt>
                <c:pt idx="16">
                  <c:v>2115</c:v>
                </c:pt>
                <c:pt idx="17">
                  <c:v>38</c:v>
                </c:pt>
                <c:pt idx="18">
                  <c:v>1350</c:v>
                </c:pt>
                <c:pt idx="19">
                  <c:v>552</c:v>
                </c:pt>
                <c:pt idx="20">
                  <c:v>980</c:v>
                </c:pt>
                <c:pt idx="21">
                  <c:v>799</c:v>
                </c:pt>
                <c:pt idx="22">
                  <c:v>2880</c:v>
                </c:pt>
                <c:pt idx="23">
                  <c:v>458</c:v>
                </c:pt>
                <c:pt idx="24">
                  <c:v>185</c:v>
                </c:pt>
                <c:pt idx="25">
                  <c:v>1820</c:v>
                </c:pt>
                <c:pt idx="26">
                  <c:v>1680</c:v>
                </c:pt>
                <c:pt idx="27">
                  <c:v>2048</c:v>
                </c:pt>
                <c:pt idx="28">
                  <c:v>1000</c:v>
                </c:pt>
                <c:pt idx="29">
                  <c:v>1570</c:v>
                </c:pt>
                <c:pt idx="30">
                  <c:v>1580</c:v>
                </c:pt>
                <c:pt idx="31">
                  <c:v>968</c:v>
                </c:pt>
                <c:pt idx="32">
                  <c:v>990</c:v>
                </c:pt>
                <c:pt idx="33">
                  <c:v>345</c:v>
                </c:pt>
                <c:pt idx="34">
                  <c:v>501</c:v>
                </c:pt>
                <c:pt idx="35">
                  <c:v>880</c:v>
                </c:pt>
                <c:pt idx="36">
                  <c:v>2170</c:v>
                </c:pt>
                <c:pt idx="37">
                  <c:v>1274</c:v>
                </c:pt>
                <c:pt idx="38">
                  <c:v>1600</c:v>
                </c:pt>
                <c:pt idx="39">
                  <c:v>509</c:v>
                </c:pt>
                <c:pt idx="40">
                  <c:v>3750</c:v>
                </c:pt>
                <c:pt idx="41">
                  <c:v>2300</c:v>
                </c:pt>
                <c:pt idx="42">
                  <c:v>1740</c:v>
                </c:pt>
                <c:pt idx="43">
                  <c:v>2999</c:v>
                </c:pt>
                <c:pt idx="44">
                  <c:v>2025</c:v>
                </c:pt>
                <c:pt idx="45">
                  <c:v>171</c:v>
                </c:pt>
                <c:pt idx="46">
                  <c:v>332</c:v>
                </c:pt>
                <c:pt idx="47">
                  <c:v>195</c:v>
                </c:pt>
                <c:pt idx="48">
                  <c:v>950</c:v>
                </c:pt>
                <c:pt idx="49">
                  <c:v>1800</c:v>
                </c:pt>
                <c:pt idx="50">
                  <c:v>988</c:v>
                </c:pt>
                <c:pt idx="51">
                  <c:v>450</c:v>
                </c:pt>
                <c:pt idx="52">
                  <c:v>330</c:v>
                </c:pt>
                <c:pt idx="53">
                  <c:v>979</c:v>
                </c:pt>
                <c:pt idx="54">
                  <c:v>1189</c:v>
                </c:pt>
                <c:pt idx="55">
                  <c:v>1620</c:v>
                </c:pt>
                <c:pt idx="56">
                  <c:v>3640</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xVal>
          <c:yVal>
            <c:numRef>
              <c:f>'Analysis Working'!$J$2:$J$113</c:f>
              <c:numCache>
                <c:formatCode>General</c:formatCode>
                <c:ptCount val="112"/>
                <c:pt idx="0">
                  <c:v>2.8</c:v>
                </c:pt>
                <c:pt idx="1">
                  <c:v>4.5999999999999996</c:v>
                </c:pt>
                <c:pt idx="2">
                  <c:v>4.5999999999999996</c:v>
                </c:pt>
                <c:pt idx="3">
                  <c:v>4.5999999999999996</c:v>
                </c:pt>
                <c:pt idx="4">
                  <c:v>4.7</c:v>
                </c:pt>
                <c:pt idx="5">
                  <c:v>4.3</c:v>
                </c:pt>
                <c:pt idx="6">
                  <c:v>4.5</c:v>
                </c:pt>
                <c:pt idx="7">
                  <c:v>4.5999999999999996</c:v>
                </c:pt>
                <c:pt idx="8">
                  <c:v>4.0999999999999996</c:v>
                </c:pt>
                <c:pt idx="9">
                  <c:v>4.7</c:v>
                </c:pt>
                <c:pt idx="10">
                  <c:v>2.6</c:v>
                </c:pt>
                <c:pt idx="11">
                  <c:v>2.9</c:v>
                </c:pt>
                <c:pt idx="12">
                  <c:v>2.7</c:v>
                </c:pt>
                <c:pt idx="13">
                  <c:v>4</c:v>
                </c:pt>
                <c:pt idx="14">
                  <c:v>4.0999999999999996</c:v>
                </c:pt>
                <c:pt idx="15">
                  <c:v>4.4000000000000004</c:v>
                </c:pt>
                <c:pt idx="16">
                  <c:v>2.1</c:v>
                </c:pt>
                <c:pt idx="17">
                  <c:v>3.3</c:v>
                </c:pt>
                <c:pt idx="18">
                  <c:v>3.8</c:v>
                </c:pt>
                <c:pt idx="19">
                  <c:v>4.8</c:v>
                </c:pt>
                <c:pt idx="20">
                  <c:v>4.7</c:v>
                </c:pt>
                <c:pt idx="21">
                  <c:v>4.0999999999999996</c:v>
                </c:pt>
                <c:pt idx="22">
                  <c:v>3.8</c:v>
                </c:pt>
                <c:pt idx="23">
                  <c:v>3</c:v>
                </c:pt>
                <c:pt idx="24">
                  <c:v>4.3</c:v>
                </c:pt>
                <c:pt idx="25">
                  <c:v>4.3</c:v>
                </c:pt>
                <c:pt idx="26">
                  <c:v>4.2</c:v>
                </c:pt>
                <c:pt idx="27">
                  <c:v>4.3</c:v>
                </c:pt>
                <c:pt idx="28">
                  <c:v>2.2999999999999998</c:v>
                </c:pt>
                <c:pt idx="29">
                  <c:v>2.1</c:v>
                </c:pt>
                <c:pt idx="30">
                  <c:v>4.7</c:v>
                </c:pt>
                <c:pt idx="31">
                  <c:v>2.2000000000000002</c:v>
                </c:pt>
                <c:pt idx="32">
                  <c:v>2.2000000000000002</c:v>
                </c:pt>
                <c:pt idx="33">
                  <c:v>2.2999999999999998</c:v>
                </c:pt>
                <c:pt idx="34">
                  <c:v>4.5</c:v>
                </c:pt>
                <c:pt idx="35">
                  <c:v>4</c:v>
                </c:pt>
                <c:pt idx="36">
                  <c:v>2.5</c:v>
                </c:pt>
                <c:pt idx="37">
                  <c:v>4.8</c:v>
                </c:pt>
                <c:pt idx="38">
                  <c:v>3.8</c:v>
                </c:pt>
                <c:pt idx="39">
                  <c:v>3</c:v>
                </c:pt>
                <c:pt idx="40">
                  <c:v>3</c:v>
                </c:pt>
                <c:pt idx="41">
                  <c:v>3</c:v>
                </c:pt>
                <c:pt idx="42">
                  <c:v>4.8</c:v>
                </c:pt>
                <c:pt idx="43">
                  <c:v>4.5999999999999996</c:v>
                </c:pt>
                <c:pt idx="44">
                  <c:v>5</c:v>
                </c:pt>
                <c:pt idx="45">
                  <c:v>5</c:v>
                </c:pt>
                <c:pt idx="46">
                  <c:v>5</c:v>
                </c:pt>
                <c:pt idx="47">
                  <c:v>5</c:v>
                </c:pt>
                <c:pt idx="48">
                  <c:v>4.5</c:v>
                </c:pt>
                <c:pt idx="49">
                  <c:v>4.5</c:v>
                </c:pt>
                <c:pt idx="50">
                  <c:v>4</c:v>
                </c:pt>
                <c:pt idx="51">
                  <c:v>2</c:v>
                </c:pt>
                <c:pt idx="52">
                  <c:v>4</c:v>
                </c:pt>
                <c:pt idx="53">
                  <c:v>5</c:v>
                </c:pt>
                <c:pt idx="54">
                  <c:v>3</c:v>
                </c:pt>
                <c:pt idx="55">
                  <c:v>5</c:v>
                </c:pt>
                <c:pt idx="56">
                  <c:v>5</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yVal>
          <c:smooth val="0"/>
          <c:extLst>
            <c:ext xmlns:c16="http://schemas.microsoft.com/office/drawing/2014/chart" uri="{C3380CC4-5D6E-409C-BE32-E72D297353CC}">
              <c16:uniqueId val="{00000001-18D3-4BE1-ADD7-1B673603AC67}"/>
            </c:ext>
          </c:extLst>
        </c:ser>
        <c:dLbls>
          <c:showLegendKey val="0"/>
          <c:showVal val="0"/>
          <c:showCatName val="0"/>
          <c:showSerName val="0"/>
          <c:showPercent val="0"/>
          <c:showBubbleSize val="0"/>
        </c:dLbls>
        <c:axId val="563580864"/>
        <c:axId val="563582016"/>
      </c:scatterChart>
      <c:valAx>
        <c:axId val="563580864"/>
        <c:scaling>
          <c:orientation val="minMax"/>
        </c:scaling>
        <c:delete val="0"/>
        <c:axPos val="b"/>
        <c:title>
          <c:tx>
            <c:rich>
              <a:bodyPr/>
              <a:lstStyle/>
              <a:p>
                <a:pPr>
                  <a:defRPr/>
                </a:pPr>
                <a:r>
                  <a:rPr lang="en-US"/>
                  <a:t>Price</a:t>
                </a:r>
              </a:p>
            </c:rich>
          </c:tx>
          <c:overlay val="0"/>
        </c:title>
        <c:numFmt formatCode="General" sourceLinked="1"/>
        <c:majorTickMark val="out"/>
        <c:minorTickMark val="none"/>
        <c:tickLblPos val="nextTo"/>
        <c:crossAx val="563582016"/>
        <c:crosses val="autoZero"/>
        <c:crossBetween val="midCat"/>
      </c:valAx>
      <c:valAx>
        <c:axId val="563582016"/>
        <c:scaling>
          <c:orientation val="minMax"/>
        </c:scaling>
        <c:delete val="0"/>
        <c:axPos val="l"/>
        <c:majorGridlines/>
        <c:title>
          <c:tx>
            <c:rich>
              <a:bodyPr rot="-5400000" vert="horz"/>
              <a:lstStyle/>
              <a:p>
                <a:pPr>
                  <a:defRPr/>
                </a:pPr>
                <a:r>
                  <a:rPr lang="en-US"/>
                  <a:t>Rating</a:t>
                </a:r>
              </a:p>
            </c:rich>
          </c:tx>
          <c:overlay val="0"/>
        </c:title>
        <c:numFmt formatCode="General" sourceLinked="1"/>
        <c:majorTickMark val="out"/>
        <c:minorTickMark val="none"/>
        <c:tickLblPos val="nextTo"/>
        <c:crossAx val="563580864"/>
        <c:crosses val="autoZero"/>
        <c:crossBetween val="midCat"/>
      </c:valAx>
    </c:plotArea>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Tables!PivotTable2</c:name>
    <c:fmtId val="10"/>
  </c:pivotSource>
  <c:chart>
    <c:title>
      <c:tx>
        <c:rich>
          <a:bodyPr/>
          <a:lstStyle/>
          <a:p>
            <a:pPr>
              <a:defRPr/>
            </a:pPr>
            <a:r>
              <a:rPr lang="en-US" sz="1800" b="1" i="0" u="none" strike="noStrike" baseline="0"/>
              <a:t>Reviews by Discount </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spPr>
          <a:solidFill>
            <a:schemeClr val="accent1">
              <a:lumMod val="75000"/>
            </a:schemeClr>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lumMod val="75000"/>
              </a:schemeClr>
            </a:solidFill>
          </c:spPr>
          <c:invertIfNegative val="0"/>
          <c:cat>
            <c:strRef>
              <c:f>'Pivot Tables'!$A$3:$A$6</c:f>
              <c:strCache>
                <c:ptCount val="3"/>
                <c:pt idx="0">
                  <c:v>Low</c:v>
                </c:pt>
                <c:pt idx="1">
                  <c:v>Medium</c:v>
                </c:pt>
                <c:pt idx="2">
                  <c:v>High</c:v>
                </c:pt>
              </c:strCache>
            </c:strRef>
          </c:cat>
          <c:val>
            <c:numRef>
              <c:f>'Pivot Tables'!$B$3:$B$6</c:f>
              <c:numCache>
                <c:formatCode>General</c:formatCode>
                <c:ptCount val="3"/>
                <c:pt idx="0">
                  <c:v>2.1111111111111112</c:v>
                </c:pt>
                <c:pt idx="1">
                  <c:v>10.96875</c:v>
                </c:pt>
                <c:pt idx="2">
                  <c:v>5.387096774193548</c:v>
                </c:pt>
              </c:numCache>
            </c:numRef>
          </c:val>
          <c:extLst>
            <c:ext xmlns:c16="http://schemas.microsoft.com/office/drawing/2014/chart" uri="{C3380CC4-5D6E-409C-BE32-E72D297353CC}">
              <c16:uniqueId val="{00000000-A8B9-4823-8BC5-7AA1E30977BC}"/>
            </c:ext>
          </c:extLst>
        </c:ser>
        <c:dLbls>
          <c:showLegendKey val="0"/>
          <c:showVal val="0"/>
          <c:showCatName val="0"/>
          <c:showSerName val="0"/>
          <c:showPercent val="0"/>
          <c:showBubbleSize val="0"/>
        </c:dLbls>
        <c:gapWidth val="150"/>
        <c:axId val="130025472"/>
        <c:axId val="563584320"/>
      </c:barChart>
      <c:catAx>
        <c:axId val="130025472"/>
        <c:scaling>
          <c:orientation val="minMax"/>
        </c:scaling>
        <c:delete val="0"/>
        <c:axPos val="b"/>
        <c:title>
          <c:tx>
            <c:rich>
              <a:bodyPr/>
              <a:lstStyle/>
              <a:p>
                <a:pPr>
                  <a:defRPr/>
                </a:pPr>
                <a:r>
                  <a:rPr lang="en-US"/>
                  <a:t>Discount Category</a:t>
                </a:r>
              </a:p>
            </c:rich>
          </c:tx>
          <c:overlay val="0"/>
        </c:title>
        <c:numFmt formatCode="General" sourceLinked="0"/>
        <c:majorTickMark val="out"/>
        <c:minorTickMark val="none"/>
        <c:tickLblPos val="nextTo"/>
        <c:crossAx val="563584320"/>
        <c:crosses val="autoZero"/>
        <c:auto val="1"/>
        <c:lblAlgn val="ctr"/>
        <c:lblOffset val="100"/>
        <c:noMultiLvlLbl val="0"/>
      </c:catAx>
      <c:valAx>
        <c:axId val="563584320"/>
        <c:scaling>
          <c:orientation val="minMax"/>
        </c:scaling>
        <c:delete val="0"/>
        <c:axPos val="l"/>
        <c:majorGridlines/>
        <c:title>
          <c:tx>
            <c:rich>
              <a:bodyPr rot="-5400000" vert="horz"/>
              <a:lstStyle/>
              <a:p>
                <a:pPr>
                  <a:defRPr/>
                </a:pPr>
                <a:r>
                  <a:rPr lang="en-US"/>
                  <a:t>Average Reviews</a:t>
                </a:r>
              </a:p>
              <a:p>
                <a:pPr>
                  <a:defRPr/>
                </a:pPr>
                <a:endParaRPr lang="en-US"/>
              </a:p>
            </c:rich>
          </c:tx>
          <c:overlay val="0"/>
        </c:title>
        <c:numFmt formatCode="General" sourceLinked="1"/>
        <c:majorTickMark val="out"/>
        <c:minorTickMark val="none"/>
        <c:tickLblPos val="nextTo"/>
        <c:crossAx val="130025472"/>
        <c:crosses val="autoZero"/>
        <c:crossBetween val="between"/>
      </c:valAx>
    </c:plotArea>
    <c:plotVisOnly val="1"/>
    <c:dispBlanksAs val="gap"/>
    <c:showDLblsOverMax val="0"/>
  </c:chart>
  <c:spPr>
    <a:solidFill>
      <a:schemeClr val="bg1">
        <a:lumMod val="95000"/>
      </a:schemeClr>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Tables!PivotTable4</c:name>
    <c:fmtId val="7"/>
  </c:pivotSource>
  <c:chart>
    <c:title>
      <c:tx>
        <c:rich>
          <a:bodyPr/>
          <a:lstStyle/>
          <a:p>
            <a:pPr>
              <a:defRPr/>
            </a:pPr>
            <a:r>
              <a:rPr lang="en-US" sz="1800" b="1" i="0" u="none" strike="noStrike" baseline="0"/>
              <a:t>Rating by Price </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spPr>
          <a:solidFill>
            <a:schemeClr val="accent1">
              <a:lumMod val="75000"/>
            </a:schemeClr>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Tables'!$B$20</c:f>
              <c:strCache>
                <c:ptCount val="1"/>
                <c:pt idx="0">
                  <c:v>Total</c:v>
                </c:pt>
              </c:strCache>
            </c:strRef>
          </c:tx>
          <c:spPr>
            <a:solidFill>
              <a:schemeClr val="accent1">
                <a:lumMod val="75000"/>
              </a:schemeClr>
            </a:solidFill>
          </c:spPr>
          <c:invertIfNegative val="0"/>
          <c:cat>
            <c:strRef>
              <c:f>'Pivot Tables'!$A$21:$A$24</c:f>
              <c:strCache>
                <c:ptCount val="3"/>
                <c:pt idx="0">
                  <c:v>Low</c:v>
                </c:pt>
                <c:pt idx="1">
                  <c:v>Medium</c:v>
                </c:pt>
                <c:pt idx="2">
                  <c:v>High</c:v>
                </c:pt>
              </c:strCache>
            </c:strRef>
          </c:cat>
          <c:val>
            <c:numRef>
              <c:f>'Pivot Tables'!$B$21:$B$24</c:f>
              <c:numCache>
                <c:formatCode>General</c:formatCode>
                <c:ptCount val="3"/>
                <c:pt idx="0">
                  <c:v>3.6357142857142861</c:v>
                </c:pt>
                <c:pt idx="1">
                  <c:v>3.8833333333333333</c:v>
                </c:pt>
                <c:pt idx="2">
                  <c:v>4.0842105263157888</c:v>
                </c:pt>
              </c:numCache>
            </c:numRef>
          </c:val>
          <c:extLst>
            <c:ext xmlns:c16="http://schemas.microsoft.com/office/drawing/2014/chart" uri="{C3380CC4-5D6E-409C-BE32-E72D297353CC}">
              <c16:uniqueId val="{00000000-61C6-4D8B-8BC2-2BA66FBE77B1}"/>
            </c:ext>
          </c:extLst>
        </c:ser>
        <c:dLbls>
          <c:showLegendKey val="0"/>
          <c:showVal val="0"/>
          <c:showCatName val="0"/>
          <c:showSerName val="0"/>
          <c:showPercent val="0"/>
          <c:showBubbleSize val="0"/>
        </c:dLbls>
        <c:gapWidth val="150"/>
        <c:axId val="130025984"/>
        <c:axId val="606152384"/>
      </c:barChart>
      <c:catAx>
        <c:axId val="130025984"/>
        <c:scaling>
          <c:orientation val="minMax"/>
        </c:scaling>
        <c:delete val="0"/>
        <c:axPos val="b"/>
        <c:title>
          <c:tx>
            <c:rich>
              <a:bodyPr/>
              <a:lstStyle/>
              <a:p>
                <a:pPr>
                  <a:defRPr/>
                </a:pPr>
                <a:r>
                  <a:rPr lang="en-US"/>
                  <a:t>Price Category</a:t>
                </a:r>
              </a:p>
            </c:rich>
          </c:tx>
          <c:overlay val="0"/>
        </c:title>
        <c:numFmt formatCode="General" sourceLinked="0"/>
        <c:majorTickMark val="out"/>
        <c:minorTickMark val="none"/>
        <c:tickLblPos val="nextTo"/>
        <c:crossAx val="606152384"/>
        <c:crosses val="autoZero"/>
        <c:auto val="1"/>
        <c:lblAlgn val="ctr"/>
        <c:lblOffset val="100"/>
        <c:noMultiLvlLbl val="0"/>
      </c:catAx>
      <c:valAx>
        <c:axId val="606152384"/>
        <c:scaling>
          <c:orientation val="minMax"/>
        </c:scaling>
        <c:delete val="0"/>
        <c:axPos val="l"/>
        <c:majorGridlines/>
        <c:title>
          <c:tx>
            <c:rich>
              <a:bodyPr rot="-5400000" vert="horz"/>
              <a:lstStyle/>
              <a:p>
                <a:pPr>
                  <a:defRPr/>
                </a:pPr>
                <a:r>
                  <a:rPr lang="en-US"/>
                  <a:t>Average Rating</a:t>
                </a:r>
              </a:p>
            </c:rich>
          </c:tx>
          <c:overlay val="0"/>
        </c:title>
        <c:numFmt formatCode="General" sourceLinked="1"/>
        <c:majorTickMark val="out"/>
        <c:minorTickMark val="none"/>
        <c:tickLblPos val="nextTo"/>
        <c:crossAx val="130025984"/>
        <c:crosses val="autoZero"/>
        <c:crossBetween val="between"/>
      </c:valAx>
    </c:plotArea>
    <c:plotVisOnly val="1"/>
    <c:dispBlanksAs val="gap"/>
    <c:showDLblsOverMax val="0"/>
  </c:chart>
  <c:spPr>
    <a:solidFill>
      <a:schemeClr val="bg1">
        <a:lumMod val="95000"/>
      </a:schemeClr>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Tables!PivotTable3</c:name>
    <c:fmtId val="6"/>
  </c:pivotSource>
  <c:chart>
    <c:title>
      <c:tx>
        <c:rich>
          <a:bodyPr/>
          <a:lstStyle/>
          <a:p>
            <a:pPr>
              <a:defRPr/>
            </a:pPr>
            <a:r>
              <a:rPr lang="en-US" sz="1800" b="1" i="0" u="none" strike="noStrike" baseline="0"/>
              <a:t>Reviews by Rating</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spPr>
          <a:solidFill>
            <a:schemeClr val="accent1">
              <a:lumMod val="75000"/>
            </a:schemeClr>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spPr>
            <a:solidFill>
              <a:schemeClr val="accent1">
                <a:lumMod val="75000"/>
              </a:schemeClr>
            </a:solidFill>
          </c:spPr>
          <c:invertIfNegative val="0"/>
          <c:cat>
            <c:strRef>
              <c:f>'Pivot Tables'!$A$11:$A$16</c:f>
              <c:strCache>
                <c:ptCount val="5"/>
                <c:pt idx="0">
                  <c:v>Poor</c:v>
                </c:pt>
                <c:pt idx="1">
                  <c:v>Average</c:v>
                </c:pt>
                <c:pt idx="2">
                  <c:v>Good</c:v>
                </c:pt>
                <c:pt idx="3">
                  <c:v>Excellent</c:v>
                </c:pt>
                <c:pt idx="4">
                  <c:v>Not Rated</c:v>
                </c:pt>
              </c:strCache>
            </c:strRef>
          </c:cat>
          <c:val>
            <c:numRef>
              <c:f>'Pivot Tables'!$B$11:$B$16</c:f>
              <c:numCache>
                <c:formatCode>General</c:formatCode>
                <c:ptCount val="5"/>
                <c:pt idx="0">
                  <c:v>14.083333333333334</c:v>
                </c:pt>
                <c:pt idx="1">
                  <c:v>7.1538461538461542</c:v>
                </c:pt>
                <c:pt idx="2">
                  <c:v>13.23076923076923</c:v>
                </c:pt>
                <c:pt idx="3">
                  <c:v>15.210526315789474</c:v>
                </c:pt>
                <c:pt idx="4">
                  <c:v>0</c:v>
                </c:pt>
              </c:numCache>
            </c:numRef>
          </c:val>
          <c:extLst>
            <c:ext xmlns:c16="http://schemas.microsoft.com/office/drawing/2014/chart" uri="{C3380CC4-5D6E-409C-BE32-E72D297353CC}">
              <c16:uniqueId val="{00000000-03C7-483F-BFA2-E522A9E25700}"/>
            </c:ext>
          </c:extLst>
        </c:ser>
        <c:dLbls>
          <c:showLegendKey val="0"/>
          <c:showVal val="0"/>
          <c:showCatName val="0"/>
          <c:showSerName val="0"/>
          <c:showPercent val="0"/>
          <c:showBubbleSize val="0"/>
        </c:dLbls>
        <c:gapWidth val="150"/>
        <c:axId val="130711552"/>
        <c:axId val="606154112"/>
      </c:barChart>
      <c:catAx>
        <c:axId val="130711552"/>
        <c:scaling>
          <c:orientation val="minMax"/>
        </c:scaling>
        <c:delete val="0"/>
        <c:axPos val="b"/>
        <c:title>
          <c:tx>
            <c:rich>
              <a:bodyPr/>
              <a:lstStyle/>
              <a:p>
                <a:pPr algn="r">
                  <a:defRPr/>
                </a:pPr>
                <a:r>
                  <a:rPr lang="en-US"/>
                  <a:t>Rating</a:t>
                </a:r>
                <a:r>
                  <a:rPr lang="en-US" baseline="0"/>
                  <a:t> Category</a:t>
                </a:r>
                <a:endParaRPr lang="en-US"/>
              </a:p>
            </c:rich>
          </c:tx>
          <c:overlay val="0"/>
        </c:title>
        <c:numFmt formatCode="General" sourceLinked="0"/>
        <c:majorTickMark val="out"/>
        <c:minorTickMark val="none"/>
        <c:tickLblPos val="nextTo"/>
        <c:crossAx val="606154112"/>
        <c:crosses val="autoZero"/>
        <c:auto val="1"/>
        <c:lblAlgn val="ctr"/>
        <c:lblOffset val="100"/>
        <c:noMultiLvlLbl val="0"/>
      </c:catAx>
      <c:valAx>
        <c:axId val="606154112"/>
        <c:scaling>
          <c:orientation val="minMax"/>
        </c:scaling>
        <c:delete val="0"/>
        <c:axPos val="l"/>
        <c:majorGridlines/>
        <c:title>
          <c:tx>
            <c:rich>
              <a:bodyPr rot="-5400000" vert="horz"/>
              <a:lstStyle/>
              <a:p>
                <a:pPr>
                  <a:defRPr/>
                </a:pPr>
                <a:r>
                  <a:rPr lang="en-US"/>
                  <a:t>Review Counts</a:t>
                </a:r>
              </a:p>
            </c:rich>
          </c:tx>
          <c:overlay val="0"/>
        </c:title>
        <c:numFmt formatCode="General" sourceLinked="1"/>
        <c:majorTickMark val="out"/>
        <c:minorTickMark val="none"/>
        <c:tickLblPos val="nextTo"/>
        <c:crossAx val="130711552"/>
        <c:crosses val="autoZero"/>
        <c:crossBetween val="between"/>
      </c:valAx>
    </c:plotArea>
    <c:plotVisOnly val="1"/>
    <c:dispBlanksAs val="gap"/>
    <c:showDLblsOverMax val="0"/>
  </c:chart>
  <c:spPr>
    <a:solidFill>
      <a:schemeClr val="bg1">
        <a:lumMod val="95000"/>
      </a:schemeClr>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Discount % Vs Review</a:t>
            </a:r>
          </a:p>
        </c:rich>
      </c:tx>
      <c:overlay val="0"/>
    </c:title>
    <c:autoTitleDeleted val="0"/>
    <c:plotArea>
      <c:layout/>
      <c:scatterChart>
        <c:scatterStyle val="lineMarker"/>
        <c:varyColors val="0"/>
        <c:ser>
          <c:idx val="0"/>
          <c:order val="0"/>
          <c:tx>
            <c:strRef>
              <c:f>'Analysis Working'!$E$1</c:f>
              <c:strCache>
                <c:ptCount val="1"/>
                <c:pt idx="0">
                  <c:v>Review</c:v>
                </c:pt>
              </c:strCache>
            </c:strRef>
          </c:tx>
          <c:spPr>
            <a:ln w="28575">
              <a:noFill/>
            </a:ln>
          </c:spPr>
          <c:trendline>
            <c:trendlineType val="linear"/>
            <c:dispRSqr val="1"/>
            <c:dispEq val="1"/>
            <c:trendlineLbl>
              <c:numFmt formatCode="General" sourceLinked="0"/>
            </c:trendlineLbl>
          </c:trendline>
          <c:xVal>
            <c:numRef>
              <c:f>'Analysis Working'!$D$2:$D$113</c:f>
              <c:numCache>
                <c:formatCode>0%</c:formatCode>
                <c:ptCount val="112"/>
                <c:pt idx="0">
                  <c:v>0.49</c:v>
                </c:pt>
                <c:pt idx="1">
                  <c:v>0.24</c:v>
                </c:pt>
                <c:pt idx="2">
                  <c:v>0.35</c:v>
                </c:pt>
                <c:pt idx="3">
                  <c:v>0.49</c:v>
                </c:pt>
                <c:pt idx="4">
                  <c:v>0.34</c:v>
                </c:pt>
                <c:pt idx="5">
                  <c:v>0.41</c:v>
                </c:pt>
                <c:pt idx="6">
                  <c:v>0.27</c:v>
                </c:pt>
                <c:pt idx="7">
                  <c:v>0.25</c:v>
                </c:pt>
                <c:pt idx="8">
                  <c:v>0.3</c:v>
                </c:pt>
                <c:pt idx="9">
                  <c:v>0.27</c:v>
                </c:pt>
                <c:pt idx="10">
                  <c:v>0.45</c:v>
                </c:pt>
                <c:pt idx="11">
                  <c:v>0.22</c:v>
                </c:pt>
                <c:pt idx="12">
                  <c:v>0.52</c:v>
                </c:pt>
                <c:pt idx="13">
                  <c:v>0.09</c:v>
                </c:pt>
                <c:pt idx="14">
                  <c:v>0.47</c:v>
                </c:pt>
                <c:pt idx="15">
                  <c:v>0.23</c:v>
                </c:pt>
                <c:pt idx="16">
                  <c:v>0.55000000000000004</c:v>
                </c:pt>
                <c:pt idx="17">
                  <c:v>0.53</c:v>
                </c:pt>
                <c:pt idx="18">
                  <c:v>0.32</c:v>
                </c:pt>
                <c:pt idx="19">
                  <c:v>0.47</c:v>
                </c:pt>
                <c:pt idx="20">
                  <c:v>0.34</c:v>
                </c:pt>
                <c:pt idx="21">
                  <c:v>0.2</c:v>
                </c:pt>
                <c:pt idx="22">
                  <c:v>0.18</c:v>
                </c:pt>
                <c:pt idx="23">
                  <c:v>0.54</c:v>
                </c:pt>
                <c:pt idx="24">
                  <c:v>0.52</c:v>
                </c:pt>
                <c:pt idx="25">
                  <c:v>0.48</c:v>
                </c:pt>
                <c:pt idx="26">
                  <c:v>0.33</c:v>
                </c:pt>
                <c:pt idx="27">
                  <c:v>0.54</c:v>
                </c:pt>
                <c:pt idx="28">
                  <c:v>0.5</c:v>
                </c:pt>
                <c:pt idx="29">
                  <c:v>0.47</c:v>
                </c:pt>
                <c:pt idx="30">
                  <c:v>0.37</c:v>
                </c:pt>
                <c:pt idx="31">
                  <c:v>0.47</c:v>
                </c:pt>
                <c:pt idx="32">
                  <c:v>0.45</c:v>
                </c:pt>
                <c:pt idx="33">
                  <c:v>0.43</c:v>
                </c:pt>
                <c:pt idx="34">
                  <c:v>0.42</c:v>
                </c:pt>
                <c:pt idx="35">
                  <c:v>0.35</c:v>
                </c:pt>
                <c:pt idx="36">
                  <c:v>0.13</c:v>
                </c:pt>
                <c:pt idx="37">
                  <c:v>0.55000000000000004</c:v>
                </c:pt>
                <c:pt idx="38">
                  <c:v>0.45</c:v>
                </c:pt>
                <c:pt idx="39">
                  <c:v>0.43</c:v>
                </c:pt>
                <c:pt idx="40">
                  <c:v>0.39</c:v>
                </c:pt>
                <c:pt idx="41">
                  <c:v>0.28999999999999998</c:v>
                </c:pt>
                <c:pt idx="42">
                  <c:v>0.26</c:v>
                </c:pt>
                <c:pt idx="43">
                  <c:v>0.19</c:v>
                </c:pt>
                <c:pt idx="44">
                  <c:v>0.49</c:v>
                </c:pt>
                <c:pt idx="45">
                  <c:v>0.53</c:v>
                </c:pt>
                <c:pt idx="46">
                  <c:v>0.51</c:v>
                </c:pt>
                <c:pt idx="47">
                  <c:v>0.46</c:v>
                </c:pt>
                <c:pt idx="48">
                  <c:v>0.38</c:v>
                </c:pt>
                <c:pt idx="49">
                  <c:v>0.38</c:v>
                </c:pt>
                <c:pt idx="50">
                  <c:v>0.37</c:v>
                </c:pt>
                <c:pt idx="51">
                  <c:v>0.5</c:v>
                </c:pt>
                <c:pt idx="52">
                  <c:v>0.49</c:v>
                </c:pt>
                <c:pt idx="53">
                  <c:v>0.49</c:v>
                </c:pt>
                <c:pt idx="54">
                  <c:v>0.46</c:v>
                </c:pt>
                <c:pt idx="55">
                  <c:v>0.4</c:v>
                </c:pt>
                <c:pt idx="56">
                  <c:v>0.21</c:v>
                </c:pt>
                <c:pt idx="57">
                  <c:v>0.64</c:v>
                </c:pt>
                <c:pt idx="58">
                  <c:v>0.61</c:v>
                </c:pt>
                <c:pt idx="59">
                  <c:v>0.55000000000000004</c:v>
                </c:pt>
                <c:pt idx="60">
                  <c:v>0.5</c:v>
                </c:pt>
                <c:pt idx="61">
                  <c:v>0.5</c:v>
                </c:pt>
                <c:pt idx="62">
                  <c:v>0.5</c:v>
                </c:pt>
                <c:pt idx="63">
                  <c:v>0.5</c:v>
                </c:pt>
                <c:pt idx="64">
                  <c:v>0.5</c:v>
                </c:pt>
                <c:pt idx="65">
                  <c:v>0.49</c:v>
                </c:pt>
                <c:pt idx="66">
                  <c:v>0.49</c:v>
                </c:pt>
                <c:pt idx="67">
                  <c:v>0.49</c:v>
                </c:pt>
                <c:pt idx="68">
                  <c:v>0.49</c:v>
                </c:pt>
                <c:pt idx="69">
                  <c:v>0.49</c:v>
                </c:pt>
                <c:pt idx="70">
                  <c:v>0.49</c:v>
                </c:pt>
                <c:pt idx="71">
                  <c:v>0.49</c:v>
                </c:pt>
                <c:pt idx="72">
                  <c:v>0.49</c:v>
                </c:pt>
                <c:pt idx="73">
                  <c:v>0.49</c:v>
                </c:pt>
                <c:pt idx="74">
                  <c:v>0.48</c:v>
                </c:pt>
                <c:pt idx="75">
                  <c:v>0.48</c:v>
                </c:pt>
                <c:pt idx="76">
                  <c:v>0.48</c:v>
                </c:pt>
                <c:pt idx="77">
                  <c:v>0.47</c:v>
                </c:pt>
                <c:pt idx="78">
                  <c:v>0.47</c:v>
                </c:pt>
                <c:pt idx="79">
                  <c:v>0.47</c:v>
                </c:pt>
                <c:pt idx="80">
                  <c:v>0.46</c:v>
                </c:pt>
                <c:pt idx="81">
                  <c:v>0.45</c:v>
                </c:pt>
                <c:pt idx="82">
                  <c:v>0.43</c:v>
                </c:pt>
                <c:pt idx="83">
                  <c:v>0.43</c:v>
                </c:pt>
                <c:pt idx="84">
                  <c:v>0.42</c:v>
                </c:pt>
                <c:pt idx="85">
                  <c:v>0.42</c:v>
                </c:pt>
                <c:pt idx="86">
                  <c:v>0.42</c:v>
                </c:pt>
                <c:pt idx="87">
                  <c:v>0.41</c:v>
                </c:pt>
                <c:pt idx="88">
                  <c:v>0.41</c:v>
                </c:pt>
                <c:pt idx="89">
                  <c:v>0.38</c:v>
                </c:pt>
                <c:pt idx="90">
                  <c:v>0.38</c:v>
                </c:pt>
                <c:pt idx="91">
                  <c:v>0.36</c:v>
                </c:pt>
                <c:pt idx="92">
                  <c:v>0.34</c:v>
                </c:pt>
                <c:pt idx="93">
                  <c:v>0.34</c:v>
                </c:pt>
                <c:pt idx="94">
                  <c:v>0.33</c:v>
                </c:pt>
                <c:pt idx="95">
                  <c:v>0.27</c:v>
                </c:pt>
                <c:pt idx="96">
                  <c:v>0.24</c:v>
                </c:pt>
                <c:pt idx="97">
                  <c:v>0.22</c:v>
                </c:pt>
                <c:pt idx="98">
                  <c:v>0.14000000000000001</c:v>
                </c:pt>
                <c:pt idx="99">
                  <c:v>0.14000000000000001</c:v>
                </c:pt>
                <c:pt idx="100">
                  <c:v>0.11</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'Analysis Working'!$E$2:$E$113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yVal>
          <c:smooth val="0"/>
          <c:extLst>
            <c:ext xmlns:c16="http://schemas.microsoft.com/office/drawing/2014/chart" uri="{C3380CC4-5D6E-409C-BE32-E72D297353CC}">
              <c16:uniqueId val="{00000001-6121-46D0-8752-8CECA94FCDCF}"/>
            </c:ext>
          </c:extLst>
        </c:ser>
        <c:dLbls>
          <c:showLegendKey val="0"/>
          <c:showVal val="0"/>
          <c:showCatName val="0"/>
          <c:showSerName val="0"/>
          <c:showPercent val="0"/>
          <c:showBubbleSize val="0"/>
        </c:dLbls>
        <c:axId val="135545408"/>
        <c:axId val="135545984"/>
      </c:scatterChart>
      <c:valAx>
        <c:axId val="135545408"/>
        <c:scaling>
          <c:orientation val="minMax"/>
        </c:scaling>
        <c:delete val="0"/>
        <c:axPos val="b"/>
        <c:title>
          <c:tx>
            <c:rich>
              <a:bodyPr/>
              <a:lstStyle/>
              <a:p>
                <a:pPr>
                  <a:defRPr/>
                </a:pPr>
                <a:r>
                  <a:rPr lang="en-US"/>
                  <a:t>Discount %</a:t>
                </a:r>
              </a:p>
            </c:rich>
          </c:tx>
          <c:overlay val="0"/>
        </c:title>
        <c:numFmt formatCode="0%" sourceLinked="1"/>
        <c:majorTickMark val="out"/>
        <c:minorTickMark val="none"/>
        <c:tickLblPos val="nextTo"/>
        <c:crossAx val="135545984"/>
        <c:crosses val="autoZero"/>
        <c:crossBetween val="midCat"/>
      </c:valAx>
      <c:valAx>
        <c:axId val="135545984"/>
        <c:scaling>
          <c:orientation val="minMax"/>
        </c:scaling>
        <c:delete val="0"/>
        <c:axPos val="l"/>
        <c:majorGridlines/>
        <c:title>
          <c:tx>
            <c:rich>
              <a:bodyPr rot="-5400000" vert="horz"/>
              <a:lstStyle/>
              <a:p>
                <a:pPr>
                  <a:defRPr/>
                </a:pPr>
                <a:r>
                  <a:rPr lang="en-US"/>
                  <a:t>Review Counts</a:t>
                </a:r>
              </a:p>
            </c:rich>
          </c:tx>
          <c:overlay val="0"/>
        </c:title>
        <c:numFmt formatCode="General" sourceLinked="1"/>
        <c:majorTickMark val="out"/>
        <c:minorTickMark val="none"/>
        <c:tickLblPos val="nextTo"/>
        <c:crossAx val="1355454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Rating Vs Review</a:t>
            </a:r>
          </a:p>
        </c:rich>
      </c:tx>
      <c:overlay val="0"/>
    </c:title>
    <c:autoTitleDeleted val="0"/>
    <c:plotArea>
      <c:layout/>
      <c:scatterChart>
        <c:scatterStyle val="lineMarker"/>
        <c:varyColors val="0"/>
        <c:ser>
          <c:idx val="0"/>
          <c:order val="0"/>
          <c:tx>
            <c:strRef>
              <c:f>'Analysis Working'!$H$1</c:f>
              <c:strCache>
                <c:ptCount val="1"/>
                <c:pt idx="0">
                  <c:v>Review_Chart</c:v>
                </c:pt>
              </c:strCache>
            </c:strRef>
          </c:tx>
          <c:spPr>
            <a:ln w="28575">
              <a:noFill/>
            </a:ln>
          </c:spPr>
          <c:trendline>
            <c:trendlineType val="linear"/>
            <c:dispRSqr val="1"/>
            <c:dispEq val="1"/>
            <c:trendlineLbl>
              <c:numFmt formatCode="General" sourceLinked="0"/>
            </c:trendlineLbl>
          </c:trendline>
          <c:xVal>
            <c:numRef>
              <c:f>'Analysis Working'!$G$2:$G$113</c:f>
              <c:numCache>
                <c:formatCode>General</c:formatCode>
                <c:ptCount val="112"/>
                <c:pt idx="0">
                  <c:v>2.8</c:v>
                </c:pt>
                <c:pt idx="1">
                  <c:v>4.5999999999999996</c:v>
                </c:pt>
                <c:pt idx="2">
                  <c:v>4.5999999999999996</c:v>
                </c:pt>
                <c:pt idx="3">
                  <c:v>4.5999999999999996</c:v>
                </c:pt>
                <c:pt idx="4">
                  <c:v>4.7</c:v>
                </c:pt>
                <c:pt idx="5">
                  <c:v>4.3</c:v>
                </c:pt>
                <c:pt idx="6">
                  <c:v>4.5</c:v>
                </c:pt>
                <c:pt idx="7">
                  <c:v>4.5999999999999996</c:v>
                </c:pt>
                <c:pt idx="8">
                  <c:v>4.0999999999999996</c:v>
                </c:pt>
                <c:pt idx="9">
                  <c:v>4.7</c:v>
                </c:pt>
                <c:pt idx="10">
                  <c:v>2.6</c:v>
                </c:pt>
                <c:pt idx="11">
                  <c:v>2.9</c:v>
                </c:pt>
                <c:pt idx="12">
                  <c:v>2.7</c:v>
                </c:pt>
                <c:pt idx="13">
                  <c:v>4</c:v>
                </c:pt>
                <c:pt idx="14">
                  <c:v>4.0999999999999996</c:v>
                </c:pt>
                <c:pt idx="15">
                  <c:v>4.4000000000000004</c:v>
                </c:pt>
                <c:pt idx="16">
                  <c:v>2.1</c:v>
                </c:pt>
                <c:pt idx="17">
                  <c:v>3.3</c:v>
                </c:pt>
                <c:pt idx="18">
                  <c:v>3.8</c:v>
                </c:pt>
                <c:pt idx="19">
                  <c:v>4.8</c:v>
                </c:pt>
                <c:pt idx="20">
                  <c:v>4.7</c:v>
                </c:pt>
                <c:pt idx="21">
                  <c:v>4.0999999999999996</c:v>
                </c:pt>
                <c:pt idx="22">
                  <c:v>3.8</c:v>
                </c:pt>
                <c:pt idx="23">
                  <c:v>3</c:v>
                </c:pt>
                <c:pt idx="24">
                  <c:v>4.3</c:v>
                </c:pt>
                <c:pt idx="25">
                  <c:v>4.3</c:v>
                </c:pt>
                <c:pt idx="26">
                  <c:v>4.2</c:v>
                </c:pt>
                <c:pt idx="27">
                  <c:v>4.3</c:v>
                </c:pt>
                <c:pt idx="28">
                  <c:v>2.2999999999999998</c:v>
                </c:pt>
                <c:pt idx="29">
                  <c:v>2.1</c:v>
                </c:pt>
                <c:pt idx="30">
                  <c:v>4.7</c:v>
                </c:pt>
                <c:pt idx="31">
                  <c:v>2.2000000000000002</c:v>
                </c:pt>
                <c:pt idx="32">
                  <c:v>2.2000000000000002</c:v>
                </c:pt>
                <c:pt idx="33">
                  <c:v>2.2999999999999998</c:v>
                </c:pt>
                <c:pt idx="34">
                  <c:v>4.5</c:v>
                </c:pt>
                <c:pt idx="35">
                  <c:v>4</c:v>
                </c:pt>
                <c:pt idx="36">
                  <c:v>2.5</c:v>
                </c:pt>
                <c:pt idx="37">
                  <c:v>4.8</c:v>
                </c:pt>
                <c:pt idx="38">
                  <c:v>3.8</c:v>
                </c:pt>
                <c:pt idx="39">
                  <c:v>3</c:v>
                </c:pt>
                <c:pt idx="40">
                  <c:v>3</c:v>
                </c:pt>
                <c:pt idx="41">
                  <c:v>3</c:v>
                </c:pt>
                <c:pt idx="42">
                  <c:v>4.8</c:v>
                </c:pt>
                <c:pt idx="43">
                  <c:v>4.5999999999999996</c:v>
                </c:pt>
                <c:pt idx="44">
                  <c:v>5</c:v>
                </c:pt>
                <c:pt idx="45">
                  <c:v>5</c:v>
                </c:pt>
                <c:pt idx="46">
                  <c:v>5</c:v>
                </c:pt>
                <c:pt idx="47">
                  <c:v>5</c:v>
                </c:pt>
                <c:pt idx="48">
                  <c:v>4.5</c:v>
                </c:pt>
                <c:pt idx="49">
                  <c:v>4.5</c:v>
                </c:pt>
                <c:pt idx="50">
                  <c:v>4</c:v>
                </c:pt>
                <c:pt idx="51">
                  <c:v>2</c:v>
                </c:pt>
                <c:pt idx="52">
                  <c:v>4</c:v>
                </c:pt>
                <c:pt idx="53">
                  <c:v>5</c:v>
                </c:pt>
                <c:pt idx="54">
                  <c:v>3</c:v>
                </c:pt>
                <c:pt idx="55">
                  <c:v>5</c:v>
                </c:pt>
                <c:pt idx="56">
                  <c:v>5</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xVal>
          <c:yVal>
            <c:numRef>
              <c:f>'Analysis Working'!$H$2:$H$113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yVal>
          <c:smooth val="0"/>
          <c:extLst>
            <c:ext xmlns:c16="http://schemas.microsoft.com/office/drawing/2014/chart" uri="{C3380CC4-5D6E-409C-BE32-E72D297353CC}">
              <c16:uniqueId val="{00000001-850B-4EE6-8BC6-CEDBD555B538}"/>
            </c:ext>
          </c:extLst>
        </c:ser>
        <c:dLbls>
          <c:showLegendKey val="0"/>
          <c:showVal val="0"/>
          <c:showCatName val="0"/>
          <c:showSerName val="0"/>
          <c:showPercent val="0"/>
          <c:showBubbleSize val="0"/>
        </c:dLbls>
        <c:axId val="135547712"/>
        <c:axId val="135548288"/>
      </c:scatterChart>
      <c:valAx>
        <c:axId val="135547712"/>
        <c:scaling>
          <c:orientation val="minMax"/>
        </c:scaling>
        <c:delete val="0"/>
        <c:axPos val="b"/>
        <c:title>
          <c:tx>
            <c:rich>
              <a:bodyPr/>
              <a:lstStyle/>
              <a:p>
                <a:pPr>
                  <a:defRPr/>
                </a:pPr>
                <a:r>
                  <a:rPr lang="en-US"/>
                  <a:t>Rating</a:t>
                </a:r>
              </a:p>
            </c:rich>
          </c:tx>
          <c:overlay val="0"/>
        </c:title>
        <c:numFmt formatCode="General" sourceLinked="1"/>
        <c:majorTickMark val="out"/>
        <c:minorTickMark val="none"/>
        <c:tickLblPos val="nextTo"/>
        <c:crossAx val="135548288"/>
        <c:crosses val="autoZero"/>
        <c:crossBetween val="midCat"/>
      </c:valAx>
      <c:valAx>
        <c:axId val="135548288"/>
        <c:scaling>
          <c:orientation val="minMax"/>
        </c:scaling>
        <c:delete val="0"/>
        <c:axPos val="l"/>
        <c:majorGridlines/>
        <c:title>
          <c:tx>
            <c:rich>
              <a:bodyPr rot="-5400000" vert="horz"/>
              <a:lstStyle/>
              <a:p>
                <a:pPr>
                  <a:defRPr/>
                </a:pPr>
                <a:r>
                  <a:rPr lang="en-US"/>
                  <a:t>eview</a:t>
                </a:r>
                <a:r>
                  <a:rPr lang="en-US" baseline="0"/>
                  <a:t> Counts</a:t>
                </a:r>
              </a:p>
            </c:rich>
          </c:tx>
          <c:overlay val="0"/>
        </c:title>
        <c:numFmt formatCode="General" sourceLinked="1"/>
        <c:majorTickMark val="out"/>
        <c:minorTickMark val="none"/>
        <c:tickLblPos val="nextTo"/>
        <c:crossAx val="1355477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Current Price Vs Rating</a:t>
            </a:r>
          </a:p>
        </c:rich>
      </c:tx>
      <c:overlay val="0"/>
    </c:title>
    <c:autoTitleDeleted val="0"/>
    <c:plotArea>
      <c:layout/>
      <c:scatterChart>
        <c:scatterStyle val="lineMarker"/>
        <c:varyColors val="0"/>
        <c:ser>
          <c:idx val="0"/>
          <c:order val="0"/>
          <c:tx>
            <c:strRef>
              <c:f>'Analysis Working'!$J$1</c:f>
              <c:strCache>
                <c:ptCount val="1"/>
                <c:pt idx="0">
                  <c:v>Rating_Chart 2</c:v>
                </c:pt>
              </c:strCache>
            </c:strRef>
          </c:tx>
          <c:spPr>
            <a:ln w="28575">
              <a:noFill/>
            </a:ln>
          </c:spPr>
          <c:trendline>
            <c:trendlineType val="linear"/>
            <c:dispRSqr val="1"/>
            <c:dispEq val="1"/>
            <c:trendlineLbl>
              <c:numFmt formatCode="General" sourceLinked="0"/>
            </c:trendlineLbl>
          </c:trendline>
          <c:xVal>
            <c:numRef>
              <c:f>'Analysis Working'!$I$2:$I$113</c:f>
              <c:numCache>
                <c:formatCode>General</c:formatCode>
                <c:ptCount val="112"/>
                <c:pt idx="0">
                  <c:v>445</c:v>
                </c:pt>
                <c:pt idx="1">
                  <c:v>2319</c:v>
                </c:pt>
                <c:pt idx="2">
                  <c:v>420</c:v>
                </c:pt>
                <c:pt idx="3">
                  <c:v>998</c:v>
                </c:pt>
                <c:pt idx="4">
                  <c:v>990</c:v>
                </c:pt>
                <c:pt idx="5">
                  <c:v>389</c:v>
                </c:pt>
                <c:pt idx="6">
                  <c:v>1980</c:v>
                </c:pt>
                <c:pt idx="7">
                  <c:v>2199</c:v>
                </c:pt>
                <c:pt idx="8">
                  <c:v>1758</c:v>
                </c:pt>
                <c:pt idx="9">
                  <c:v>1940</c:v>
                </c:pt>
                <c:pt idx="10">
                  <c:v>382</c:v>
                </c:pt>
                <c:pt idx="11">
                  <c:v>1220</c:v>
                </c:pt>
                <c:pt idx="12">
                  <c:v>325</c:v>
                </c:pt>
                <c:pt idx="13">
                  <c:v>2999</c:v>
                </c:pt>
                <c:pt idx="14">
                  <c:v>527</c:v>
                </c:pt>
                <c:pt idx="15">
                  <c:v>1650</c:v>
                </c:pt>
                <c:pt idx="16">
                  <c:v>2115</c:v>
                </c:pt>
                <c:pt idx="17">
                  <c:v>38</c:v>
                </c:pt>
                <c:pt idx="18">
                  <c:v>1350</c:v>
                </c:pt>
                <c:pt idx="19">
                  <c:v>552</c:v>
                </c:pt>
                <c:pt idx="20">
                  <c:v>980</c:v>
                </c:pt>
                <c:pt idx="21">
                  <c:v>799</c:v>
                </c:pt>
                <c:pt idx="22">
                  <c:v>2880</c:v>
                </c:pt>
                <c:pt idx="23">
                  <c:v>458</c:v>
                </c:pt>
                <c:pt idx="24">
                  <c:v>185</c:v>
                </c:pt>
                <c:pt idx="25">
                  <c:v>1820</c:v>
                </c:pt>
                <c:pt idx="26">
                  <c:v>1680</c:v>
                </c:pt>
                <c:pt idx="27">
                  <c:v>2048</c:v>
                </c:pt>
                <c:pt idx="28">
                  <c:v>1000</c:v>
                </c:pt>
                <c:pt idx="29">
                  <c:v>1570</c:v>
                </c:pt>
                <c:pt idx="30">
                  <c:v>1580</c:v>
                </c:pt>
                <c:pt idx="31">
                  <c:v>968</c:v>
                </c:pt>
                <c:pt idx="32">
                  <c:v>990</c:v>
                </c:pt>
                <c:pt idx="33">
                  <c:v>345</c:v>
                </c:pt>
                <c:pt idx="34">
                  <c:v>501</c:v>
                </c:pt>
                <c:pt idx="35">
                  <c:v>880</c:v>
                </c:pt>
                <c:pt idx="36">
                  <c:v>2170</c:v>
                </c:pt>
                <c:pt idx="37">
                  <c:v>1274</c:v>
                </c:pt>
                <c:pt idx="38">
                  <c:v>1600</c:v>
                </c:pt>
                <c:pt idx="39">
                  <c:v>509</c:v>
                </c:pt>
                <c:pt idx="40">
                  <c:v>3750</c:v>
                </c:pt>
                <c:pt idx="41">
                  <c:v>2300</c:v>
                </c:pt>
                <c:pt idx="42">
                  <c:v>1740</c:v>
                </c:pt>
                <c:pt idx="43">
                  <c:v>2999</c:v>
                </c:pt>
                <c:pt idx="44">
                  <c:v>2025</c:v>
                </c:pt>
                <c:pt idx="45">
                  <c:v>171</c:v>
                </c:pt>
                <c:pt idx="46">
                  <c:v>332</c:v>
                </c:pt>
                <c:pt idx="47">
                  <c:v>195</c:v>
                </c:pt>
                <c:pt idx="48">
                  <c:v>950</c:v>
                </c:pt>
                <c:pt idx="49">
                  <c:v>1800</c:v>
                </c:pt>
                <c:pt idx="50">
                  <c:v>988</c:v>
                </c:pt>
                <c:pt idx="51">
                  <c:v>450</c:v>
                </c:pt>
                <c:pt idx="52">
                  <c:v>330</c:v>
                </c:pt>
                <c:pt idx="53">
                  <c:v>979</c:v>
                </c:pt>
                <c:pt idx="54">
                  <c:v>1189</c:v>
                </c:pt>
                <c:pt idx="55">
                  <c:v>1620</c:v>
                </c:pt>
                <c:pt idx="56">
                  <c:v>3640</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xVal>
          <c:yVal>
            <c:numRef>
              <c:f>'Analysis Working'!$J$2:$J$113</c:f>
              <c:numCache>
                <c:formatCode>General</c:formatCode>
                <c:ptCount val="112"/>
                <c:pt idx="0">
                  <c:v>2.8</c:v>
                </c:pt>
                <c:pt idx="1">
                  <c:v>4.5999999999999996</c:v>
                </c:pt>
                <c:pt idx="2">
                  <c:v>4.5999999999999996</c:v>
                </c:pt>
                <c:pt idx="3">
                  <c:v>4.5999999999999996</c:v>
                </c:pt>
                <c:pt idx="4">
                  <c:v>4.7</c:v>
                </c:pt>
                <c:pt idx="5">
                  <c:v>4.3</c:v>
                </c:pt>
                <c:pt idx="6">
                  <c:v>4.5</c:v>
                </c:pt>
                <c:pt idx="7">
                  <c:v>4.5999999999999996</c:v>
                </c:pt>
                <c:pt idx="8">
                  <c:v>4.0999999999999996</c:v>
                </c:pt>
                <c:pt idx="9">
                  <c:v>4.7</c:v>
                </c:pt>
                <c:pt idx="10">
                  <c:v>2.6</c:v>
                </c:pt>
                <c:pt idx="11">
                  <c:v>2.9</c:v>
                </c:pt>
                <c:pt idx="12">
                  <c:v>2.7</c:v>
                </c:pt>
                <c:pt idx="13">
                  <c:v>4</c:v>
                </c:pt>
                <c:pt idx="14">
                  <c:v>4.0999999999999996</c:v>
                </c:pt>
                <c:pt idx="15">
                  <c:v>4.4000000000000004</c:v>
                </c:pt>
                <c:pt idx="16">
                  <c:v>2.1</c:v>
                </c:pt>
                <c:pt idx="17">
                  <c:v>3.3</c:v>
                </c:pt>
                <c:pt idx="18">
                  <c:v>3.8</c:v>
                </c:pt>
                <c:pt idx="19">
                  <c:v>4.8</c:v>
                </c:pt>
                <c:pt idx="20">
                  <c:v>4.7</c:v>
                </c:pt>
                <c:pt idx="21">
                  <c:v>4.0999999999999996</c:v>
                </c:pt>
                <c:pt idx="22">
                  <c:v>3.8</c:v>
                </c:pt>
                <c:pt idx="23">
                  <c:v>3</c:v>
                </c:pt>
                <c:pt idx="24">
                  <c:v>4.3</c:v>
                </c:pt>
                <c:pt idx="25">
                  <c:v>4.3</c:v>
                </c:pt>
                <c:pt idx="26">
                  <c:v>4.2</c:v>
                </c:pt>
                <c:pt idx="27">
                  <c:v>4.3</c:v>
                </c:pt>
                <c:pt idx="28">
                  <c:v>2.2999999999999998</c:v>
                </c:pt>
                <c:pt idx="29">
                  <c:v>2.1</c:v>
                </c:pt>
                <c:pt idx="30">
                  <c:v>4.7</c:v>
                </c:pt>
                <c:pt idx="31">
                  <c:v>2.2000000000000002</c:v>
                </c:pt>
                <c:pt idx="32">
                  <c:v>2.2000000000000002</c:v>
                </c:pt>
                <c:pt idx="33">
                  <c:v>2.2999999999999998</c:v>
                </c:pt>
                <c:pt idx="34">
                  <c:v>4.5</c:v>
                </c:pt>
                <c:pt idx="35">
                  <c:v>4</c:v>
                </c:pt>
                <c:pt idx="36">
                  <c:v>2.5</c:v>
                </c:pt>
                <c:pt idx="37">
                  <c:v>4.8</c:v>
                </c:pt>
                <c:pt idx="38">
                  <c:v>3.8</c:v>
                </c:pt>
                <c:pt idx="39">
                  <c:v>3</c:v>
                </c:pt>
                <c:pt idx="40">
                  <c:v>3</c:v>
                </c:pt>
                <c:pt idx="41">
                  <c:v>3</c:v>
                </c:pt>
                <c:pt idx="42">
                  <c:v>4.8</c:v>
                </c:pt>
                <c:pt idx="43">
                  <c:v>4.5999999999999996</c:v>
                </c:pt>
                <c:pt idx="44">
                  <c:v>5</c:v>
                </c:pt>
                <c:pt idx="45">
                  <c:v>5</c:v>
                </c:pt>
                <c:pt idx="46">
                  <c:v>5</c:v>
                </c:pt>
                <c:pt idx="47">
                  <c:v>5</c:v>
                </c:pt>
                <c:pt idx="48">
                  <c:v>4.5</c:v>
                </c:pt>
                <c:pt idx="49">
                  <c:v>4.5</c:v>
                </c:pt>
                <c:pt idx="50">
                  <c:v>4</c:v>
                </c:pt>
                <c:pt idx="51">
                  <c:v>2</c:v>
                </c:pt>
                <c:pt idx="52">
                  <c:v>4</c:v>
                </c:pt>
                <c:pt idx="53">
                  <c:v>5</c:v>
                </c:pt>
                <c:pt idx="54">
                  <c:v>3</c:v>
                </c:pt>
                <c:pt idx="55">
                  <c:v>5</c:v>
                </c:pt>
                <c:pt idx="56">
                  <c:v>5</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numCache>
            </c:numRef>
          </c:yVal>
          <c:smooth val="0"/>
          <c:extLst>
            <c:ext xmlns:c16="http://schemas.microsoft.com/office/drawing/2014/chart" uri="{C3380CC4-5D6E-409C-BE32-E72D297353CC}">
              <c16:uniqueId val="{00000001-EABF-4224-9568-6C799AE0DA65}"/>
            </c:ext>
          </c:extLst>
        </c:ser>
        <c:dLbls>
          <c:showLegendKey val="0"/>
          <c:showVal val="0"/>
          <c:showCatName val="0"/>
          <c:showSerName val="0"/>
          <c:showPercent val="0"/>
          <c:showBubbleSize val="0"/>
        </c:dLbls>
        <c:axId val="135551168"/>
        <c:axId val="135552320"/>
      </c:scatterChart>
      <c:valAx>
        <c:axId val="135551168"/>
        <c:scaling>
          <c:orientation val="minMax"/>
        </c:scaling>
        <c:delete val="0"/>
        <c:axPos val="b"/>
        <c:title>
          <c:tx>
            <c:rich>
              <a:bodyPr/>
              <a:lstStyle/>
              <a:p>
                <a:pPr>
                  <a:defRPr/>
                </a:pPr>
                <a:r>
                  <a:rPr lang="en-US"/>
                  <a:t>Price</a:t>
                </a:r>
              </a:p>
            </c:rich>
          </c:tx>
          <c:overlay val="0"/>
        </c:title>
        <c:numFmt formatCode="General" sourceLinked="1"/>
        <c:majorTickMark val="out"/>
        <c:minorTickMark val="none"/>
        <c:tickLblPos val="nextTo"/>
        <c:crossAx val="135552320"/>
        <c:crosses val="autoZero"/>
        <c:crossBetween val="midCat"/>
      </c:valAx>
      <c:valAx>
        <c:axId val="135552320"/>
        <c:scaling>
          <c:orientation val="minMax"/>
        </c:scaling>
        <c:delete val="0"/>
        <c:axPos val="l"/>
        <c:majorGridlines/>
        <c:title>
          <c:tx>
            <c:rich>
              <a:bodyPr rot="-5400000" vert="horz"/>
              <a:lstStyle/>
              <a:p>
                <a:pPr>
                  <a:defRPr/>
                </a:pPr>
                <a:r>
                  <a:rPr lang="en-US"/>
                  <a:t>Rating</a:t>
                </a:r>
              </a:p>
            </c:rich>
          </c:tx>
          <c:overlay val="0"/>
        </c:title>
        <c:numFmt formatCode="General" sourceLinked="1"/>
        <c:majorTickMark val="out"/>
        <c:minorTickMark val="none"/>
        <c:tickLblPos val="nextTo"/>
        <c:crossAx val="13555116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Tables!PivotTable2</c:name>
    <c:fmtId val="2"/>
  </c:pivotSource>
  <c:chart>
    <c:title>
      <c:tx>
        <c:rich>
          <a:bodyPr/>
          <a:lstStyle/>
          <a:p>
            <a:pPr>
              <a:defRPr/>
            </a:pPr>
            <a:r>
              <a:rPr lang="en-US" sz="1800" b="1" i="0" u="none" strike="noStrike" baseline="0"/>
              <a:t>Average Reviews by Discount Category</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invertIfNegative val="0"/>
          <c:cat>
            <c:strRef>
              <c:f>'Pivot Tables'!$A$3:$A$6</c:f>
              <c:strCache>
                <c:ptCount val="3"/>
                <c:pt idx="0">
                  <c:v>Low</c:v>
                </c:pt>
                <c:pt idx="1">
                  <c:v>Medium</c:v>
                </c:pt>
                <c:pt idx="2">
                  <c:v>High</c:v>
                </c:pt>
              </c:strCache>
            </c:strRef>
          </c:cat>
          <c:val>
            <c:numRef>
              <c:f>'Pivot Tables'!$B$3:$B$6</c:f>
              <c:numCache>
                <c:formatCode>General</c:formatCode>
                <c:ptCount val="3"/>
                <c:pt idx="0">
                  <c:v>2.1111111111111112</c:v>
                </c:pt>
                <c:pt idx="1">
                  <c:v>10.96875</c:v>
                </c:pt>
                <c:pt idx="2">
                  <c:v>5.387096774193548</c:v>
                </c:pt>
              </c:numCache>
            </c:numRef>
          </c:val>
          <c:extLst>
            <c:ext xmlns:c16="http://schemas.microsoft.com/office/drawing/2014/chart" uri="{C3380CC4-5D6E-409C-BE32-E72D297353CC}">
              <c16:uniqueId val="{00000000-E1F1-4933-AEF3-A3A4F1927941}"/>
            </c:ext>
          </c:extLst>
        </c:ser>
        <c:dLbls>
          <c:showLegendKey val="0"/>
          <c:showVal val="0"/>
          <c:showCatName val="0"/>
          <c:showSerName val="0"/>
          <c:showPercent val="0"/>
          <c:showBubbleSize val="0"/>
        </c:dLbls>
        <c:gapWidth val="150"/>
        <c:axId val="91852800"/>
        <c:axId val="137087808"/>
      </c:barChart>
      <c:catAx>
        <c:axId val="91852800"/>
        <c:scaling>
          <c:orientation val="minMax"/>
        </c:scaling>
        <c:delete val="0"/>
        <c:axPos val="b"/>
        <c:title>
          <c:tx>
            <c:rich>
              <a:bodyPr/>
              <a:lstStyle/>
              <a:p>
                <a:pPr>
                  <a:defRPr/>
                </a:pPr>
                <a:r>
                  <a:rPr lang="en-US"/>
                  <a:t>Discount Category</a:t>
                </a:r>
              </a:p>
            </c:rich>
          </c:tx>
          <c:overlay val="0"/>
        </c:title>
        <c:numFmt formatCode="General" sourceLinked="0"/>
        <c:majorTickMark val="out"/>
        <c:minorTickMark val="none"/>
        <c:tickLblPos val="nextTo"/>
        <c:crossAx val="137087808"/>
        <c:crosses val="autoZero"/>
        <c:auto val="1"/>
        <c:lblAlgn val="ctr"/>
        <c:lblOffset val="100"/>
        <c:noMultiLvlLbl val="0"/>
      </c:catAx>
      <c:valAx>
        <c:axId val="137087808"/>
        <c:scaling>
          <c:orientation val="minMax"/>
        </c:scaling>
        <c:delete val="0"/>
        <c:axPos val="l"/>
        <c:majorGridlines/>
        <c:title>
          <c:tx>
            <c:rich>
              <a:bodyPr rot="-5400000" vert="horz"/>
              <a:lstStyle/>
              <a:p>
                <a:pPr>
                  <a:defRPr/>
                </a:pPr>
                <a:r>
                  <a:rPr lang="en-US"/>
                  <a:t>Average Reviews</a:t>
                </a:r>
              </a:p>
              <a:p>
                <a:pPr>
                  <a:defRPr/>
                </a:pPr>
                <a:endParaRPr lang="en-US"/>
              </a:p>
            </c:rich>
          </c:tx>
          <c:overlay val="0"/>
        </c:title>
        <c:numFmt formatCode="General" sourceLinked="1"/>
        <c:majorTickMark val="out"/>
        <c:minorTickMark val="none"/>
        <c:tickLblPos val="nextTo"/>
        <c:crossAx val="918528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Tables!PivotTable4</c:name>
    <c:fmtId val="2"/>
  </c:pivotSource>
  <c:chart>
    <c:title>
      <c:tx>
        <c:rich>
          <a:bodyPr/>
          <a:lstStyle/>
          <a:p>
            <a:pPr>
              <a:defRPr/>
            </a:pPr>
            <a:r>
              <a:rPr lang="en-US" sz="1800" b="1" i="0" u="none" strike="noStrike" baseline="0"/>
              <a:t>Average Rating by Price Category</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Tables'!$B$20</c:f>
              <c:strCache>
                <c:ptCount val="1"/>
                <c:pt idx="0">
                  <c:v>Total</c:v>
                </c:pt>
              </c:strCache>
            </c:strRef>
          </c:tx>
          <c:invertIfNegative val="0"/>
          <c:cat>
            <c:strRef>
              <c:f>'Pivot Tables'!$A$21:$A$24</c:f>
              <c:strCache>
                <c:ptCount val="3"/>
                <c:pt idx="0">
                  <c:v>Low</c:v>
                </c:pt>
                <c:pt idx="1">
                  <c:v>Medium</c:v>
                </c:pt>
                <c:pt idx="2">
                  <c:v>High</c:v>
                </c:pt>
              </c:strCache>
            </c:strRef>
          </c:cat>
          <c:val>
            <c:numRef>
              <c:f>'Pivot Tables'!$B$21:$B$24</c:f>
              <c:numCache>
                <c:formatCode>General</c:formatCode>
                <c:ptCount val="3"/>
                <c:pt idx="0">
                  <c:v>3.6357142857142861</c:v>
                </c:pt>
                <c:pt idx="1">
                  <c:v>3.8833333333333333</c:v>
                </c:pt>
                <c:pt idx="2">
                  <c:v>4.0842105263157888</c:v>
                </c:pt>
              </c:numCache>
            </c:numRef>
          </c:val>
          <c:extLst>
            <c:ext xmlns:c16="http://schemas.microsoft.com/office/drawing/2014/chart" uri="{C3380CC4-5D6E-409C-BE32-E72D297353CC}">
              <c16:uniqueId val="{00000000-26CD-4FB9-9341-1174E7B51B30}"/>
            </c:ext>
          </c:extLst>
        </c:ser>
        <c:dLbls>
          <c:showLegendKey val="0"/>
          <c:showVal val="0"/>
          <c:showCatName val="0"/>
          <c:showSerName val="0"/>
          <c:showPercent val="0"/>
          <c:showBubbleSize val="0"/>
        </c:dLbls>
        <c:gapWidth val="150"/>
        <c:axId val="92460032"/>
        <c:axId val="137088960"/>
      </c:barChart>
      <c:catAx>
        <c:axId val="92460032"/>
        <c:scaling>
          <c:orientation val="minMax"/>
        </c:scaling>
        <c:delete val="0"/>
        <c:axPos val="b"/>
        <c:title>
          <c:tx>
            <c:rich>
              <a:bodyPr/>
              <a:lstStyle/>
              <a:p>
                <a:pPr>
                  <a:defRPr/>
                </a:pPr>
                <a:r>
                  <a:rPr lang="en-US"/>
                  <a:t>Price Category</a:t>
                </a:r>
              </a:p>
            </c:rich>
          </c:tx>
          <c:overlay val="0"/>
        </c:title>
        <c:numFmt formatCode="General" sourceLinked="0"/>
        <c:majorTickMark val="out"/>
        <c:minorTickMark val="none"/>
        <c:tickLblPos val="nextTo"/>
        <c:crossAx val="137088960"/>
        <c:crosses val="autoZero"/>
        <c:auto val="1"/>
        <c:lblAlgn val="ctr"/>
        <c:lblOffset val="100"/>
        <c:noMultiLvlLbl val="0"/>
      </c:catAx>
      <c:valAx>
        <c:axId val="137088960"/>
        <c:scaling>
          <c:orientation val="minMax"/>
        </c:scaling>
        <c:delete val="0"/>
        <c:axPos val="l"/>
        <c:majorGridlines/>
        <c:title>
          <c:tx>
            <c:rich>
              <a:bodyPr rot="-5400000" vert="horz"/>
              <a:lstStyle/>
              <a:p>
                <a:pPr>
                  <a:defRPr/>
                </a:pPr>
                <a:r>
                  <a:rPr lang="en-US"/>
                  <a:t>Average Rating</a:t>
                </a:r>
              </a:p>
            </c:rich>
          </c:tx>
          <c:overlay val="0"/>
        </c:title>
        <c:numFmt formatCode="General" sourceLinked="1"/>
        <c:majorTickMark val="out"/>
        <c:minorTickMark val="none"/>
        <c:tickLblPos val="nextTo"/>
        <c:crossAx val="924600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Tables!PivotTable3</c:name>
    <c:fmtId val="2"/>
  </c:pivotSource>
  <c:chart>
    <c:title>
      <c:tx>
        <c:rich>
          <a:bodyPr/>
          <a:lstStyle/>
          <a:p>
            <a:pPr>
              <a:defRPr/>
            </a:pPr>
            <a:r>
              <a:rPr lang="en-US" sz="1800" b="1" i="0" u="none" strike="noStrike" baseline="0"/>
              <a:t>Average Reviews by Rating Category</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invertIfNegative val="0"/>
          <c:cat>
            <c:strRef>
              <c:f>'Pivot Tables'!$A$11:$A$16</c:f>
              <c:strCache>
                <c:ptCount val="5"/>
                <c:pt idx="0">
                  <c:v>Poor</c:v>
                </c:pt>
                <c:pt idx="1">
                  <c:v>Average</c:v>
                </c:pt>
                <c:pt idx="2">
                  <c:v>Good</c:v>
                </c:pt>
                <c:pt idx="3">
                  <c:v>Excellent</c:v>
                </c:pt>
                <c:pt idx="4">
                  <c:v>Not Rated</c:v>
                </c:pt>
              </c:strCache>
            </c:strRef>
          </c:cat>
          <c:val>
            <c:numRef>
              <c:f>'Pivot Tables'!$B$11:$B$16</c:f>
              <c:numCache>
                <c:formatCode>General</c:formatCode>
                <c:ptCount val="5"/>
                <c:pt idx="0">
                  <c:v>14.083333333333334</c:v>
                </c:pt>
                <c:pt idx="1">
                  <c:v>7.1538461538461542</c:v>
                </c:pt>
                <c:pt idx="2">
                  <c:v>13.23076923076923</c:v>
                </c:pt>
                <c:pt idx="3">
                  <c:v>15.210526315789474</c:v>
                </c:pt>
                <c:pt idx="4">
                  <c:v>0</c:v>
                </c:pt>
              </c:numCache>
            </c:numRef>
          </c:val>
          <c:extLst>
            <c:ext xmlns:c16="http://schemas.microsoft.com/office/drawing/2014/chart" uri="{C3380CC4-5D6E-409C-BE32-E72D297353CC}">
              <c16:uniqueId val="{00000000-C1D7-4C88-B998-CB8DBC43554E}"/>
            </c:ext>
          </c:extLst>
        </c:ser>
        <c:dLbls>
          <c:showLegendKey val="0"/>
          <c:showVal val="0"/>
          <c:showCatName val="0"/>
          <c:showSerName val="0"/>
          <c:showPercent val="0"/>
          <c:showBubbleSize val="0"/>
        </c:dLbls>
        <c:gapWidth val="150"/>
        <c:axId val="92462080"/>
        <c:axId val="137090688"/>
      </c:barChart>
      <c:catAx>
        <c:axId val="92462080"/>
        <c:scaling>
          <c:orientation val="minMax"/>
        </c:scaling>
        <c:delete val="0"/>
        <c:axPos val="b"/>
        <c:title>
          <c:tx>
            <c:rich>
              <a:bodyPr/>
              <a:lstStyle/>
              <a:p>
                <a:pPr algn="r">
                  <a:defRPr/>
                </a:pPr>
                <a:r>
                  <a:rPr lang="en-US"/>
                  <a:t>Rating</a:t>
                </a:r>
                <a:r>
                  <a:rPr lang="en-US" baseline="0"/>
                  <a:t> Category</a:t>
                </a:r>
                <a:endParaRPr lang="en-US"/>
              </a:p>
            </c:rich>
          </c:tx>
          <c:overlay val="0"/>
        </c:title>
        <c:numFmt formatCode="General" sourceLinked="0"/>
        <c:majorTickMark val="out"/>
        <c:minorTickMark val="none"/>
        <c:tickLblPos val="nextTo"/>
        <c:crossAx val="137090688"/>
        <c:crosses val="autoZero"/>
        <c:auto val="1"/>
        <c:lblAlgn val="ctr"/>
        <c:lblOffset val="100"/>
        <c:noMultiLvlLbl val="0"/>
      </c:catAx>
      <c:valAx>
        <c:axId val="137090688"/>
        <c:scaling>
          <c:orientation val="minMax"/>
        </c:scaling>
        <c:delete val="0"/>
        <c:axPos val="l"/>
        <c:majorGridlines/>
        <c:title>
          <c:tx>
            <c:rich>
              <a:bodyPr rot="-5400000" vert="horz"/>
              <a:lstStyle/>
              <a:p>
                <a:pPr>
                  <a:defRPr/>
                </a:pPr>
                <a:r>
                  <a:rPr lang="en-US"/>
                  <a:t>Review Counts</a:t>
                </a:r>
              </a:p>
            </c:rich>
          </c:tx>
          <c:overlay val="0"/>
        </c:title>
        <c:numFmt formatCode="General" sourceLinked="1"/>
        <c:majorTickMark val="out"/>
        <c:minorTickMark val="none"/>
        <c:tickLblPos val="nextTo"/>
        <c:crossAx val="924620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22860</xdr:colOff>
      <xdr:row>3</xdr:row>
      <xdr:rowOff>15240</xdr:rowOff>
    </xdr:from>
    <xdr:to>
      <xdr:col>3</xdr:col>
      <xdr:colOff>7620</xdr:colOff>
      <xdr:row>6</xdr:row>
      <xdr:rowOff>0</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22860" y="746760"/>
          <a:ext cx="5387340" cy="5486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PRODUCTS</a:t>
          </a:r>
        </a:p>
      </xdr:txBody>
    </xdr:sp>
    <xdr:clientData/>
  </xdr:twoCellAnchor>
  <xdr:twoCellAnchor>
    <xdr:from>
      <xdr:col>3</xdr:col>
      <xdr:colOff>533400</xdr:colOff>
      <xdr:row>3</xdr:row>
      <xdr:rowOff>0</xdr:rowOff>
    </xdr:from>
    <xdr:to>
      <xdr:col>7</xdr:col>
      <xdr:colOff>205740</xdr:colOff>
      <xdr:row>6</xdr:row>
      <xdr:rowOff>0</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2362200" y="731520"/>
          <a:ext cx="2110740" cy="5486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CURRENT PRICE</a:t>
          </a:r>
        </a:p>
      </xdr:txBody>
    </xdr:sp>
    <xdr:clientData/>
  </xdr:twoCellAnchor>
  <xdr:twoCellAnchor>
    <xdr:from>
      <xdr:col>8</xdr:col>
      <xdr:colOff>0</xdr:colOff>
      <xdr:row>3</xdr:row>
      <xdr:rowOff>0</xdr:rowOff>
    </xdr:from>
    <xdr:to>
      <xdr:col>10</xdr:col>
      <xdr:colOff>594360</xdr:colOff>
      <xdr:row>6</xdr:row>
      <xdr:rowOff>0</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4876800" y="731520"/>
          <a:ext cx="1813560" cy="5486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DISCOUNT</a:t>
          </a:r>
        </a:p>
      </xdr:txBody>
    </xdr:sp>
    <xdr:clientData/>
  </xdr:twoCellAnchor>
  <xdr:twoCellAnchor>
    <xdr:from>
      <xdr:col>12</xdr:col>
      <xdr:colOff>0</xdr:colOff>
      <xdr:row>3</xdr:row>
      <xdr:rowOff>0</xdr:rowOff>
    </xdr:from>
    <xdr:to>
      <xdr:col>14</xdr:col>
      <xdr:colOff>594360</xdr:colOff>
      <xdr:row>6</xdr:row>
      <xdr:rowOff>0</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7315200" y="731520"/>
          <a:ext cx="1813560" cy="5486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RATING</a:t>
          </a:r>
        </a:p>
      </xdr:txBody>
    </xdr:sp>
    <xdr:clientData/>
  </xdr:twoCellAnchor>
  <xdr:twoCellAnchor>
    <xdr:from>
      <xdr:col>16</xdr:col>
      <xdr:colOff>0</xdr:colOff>
      <xdr:row>3</xdr:row>
      <xdr:rowOff>0</xdr:rowOff>
    </xdr:from>
    <xdr:to>
      <xdr:col>18</xdr:col>
      <xdr:colOff>594360</xdr:colOff>
      <xdr:row>6</xdr:row>
      <xdr:rowOff>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9753600" y="731520"/>
          <a:ext cx="1813560" cy="5486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REVIEWS</a:t>
          </a:r>
        </a:p>
      </xdr:txBody>
    </xdr:sp>
    <xdr:clientData/>
  </xdr:twoCellAnchor>
  <xdr:twoCellAnchor>
    <xdr:from>
      <xdr:col>0</xdr:col>
      <xdr:colOff>220980</xdr:colOff>
      <xdr:row>4</xdr:row>
      <xdr:rowOff>83820</xdr:rowOff>
    </xdr:from>
    <xdr:to>
      <xdr:col>2</xdr:col>
      <xdr:colOff>403860</xdr:colOff>
      <xdr:row>5</xdr:row>
      <xdr:rowOff>144780</xdr:rowOff>
    </xdr:to>
    <xdr:sp macro="" textlink="'Descriptive Stats'!J6">
      <xdr:nvSpPr>
        <xdr:cNvPr id="7" name="TextBox 6">
          <a:extLst>
            <a:ext uri="{FF2B5EF4-FFF2-40B4-BE49-F238E27FC236}">
              <a16:creationId xmlns:a16="http://schemas.microsoft.com/office/drawing/2014/main" id="{00000000-0008-0000-0C00-000007000000}"/>
            </a:ext>
          </a:extLst>
        </xdr:cNvPr>
        <xdr:cNvSpPr txBox="1"/>
      </xdr:nvSpPr>
      <xdr:spPr>
        <a:xfrm>
          <a:off x="220980" y="998220"/>
          <a:ext cx="497586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8E07A4-2ED0-449B-AFEA-DB297281B24B}" type="TxLink">
            <a:rPr lang="en-US" sz="1600" b="1" i="0" u="none" strike="noStrike">
              <a:solidFill>
                <a:srgbClr val="000000"/>
              </a:solidFill>
              <a:latin typeface="Calibri"/>
              <a:cs typeface="Calibri"/>
            </a:rPr>
            <a:pPr algn="ctr"/>
            <a:t>112</a:t>
          </a:fld>
          <a:endParaRPr lang="en-US" sz="1600" b="1"/>
        </a:p>
      </xdr:txBody>
    </xdr:sp>
    <xdr:clientData/>
  </xdr:twoCellAnchor>
  <xdr:twoCellAnchor>
    <xdr:from>
      <xdr:col>4</xdr:col>
      <xdr:colOff>281940</xdr:colOff>
      <xdr:row>4</xdr:row>
      <xdr:rowOff>68580</xdr:rowOff>
    </xdr:from>
    <xdr:to>
      <xdr:col>6</xdr:col>
      <xdr:colOff>464820</xdr:colOff>
      <xdr:row>5</xdr:row>
      <xdr:rowOff>129540</xdr:rowOff>
    </xdr:to>
    <xdr:sp macro="" textlink="'Descriptive Stats'!J2">
      <xdr:nvSpPr>
        <xdr:cNvPr id="8" name="TextBox 7">
          <a:extLst>
            <a:ext uri="{FF2B5EF4-FFF2-40B4-BE49-F238E27FC236}">
              <a16:creationId xmlns:a16="http://schemas.microsoft.com/office/drawing/2014/main" id="{00000000-0008-0000-0C00-000008000000}"/>
            </a:ext>
          </a:extLst>
        </xdr:cNvPr>
        <xdr:cNvSpPr txBox="1"/>
      </xdr:nvSpPr>
      <xdr:spPr>
        <a:xfrm>
          <a:off x="2720340" y="845820"/>
          <a:ext cx="14020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6F9D7D-A8FE-44EF-B89B-836933BC6083}" type="TxLink">
            <a:rPr lang="en-US" sz="1600" b="1" i="0" u="none" strike="noStrike">
              <a:solidFill>
                <a:srgbClr val="000000"/>
              </a:solidFill>
              <a:latin typeface="Calibri"/>
              <a:cs typeface="Calibri"/>
            </a:rPr>
            <a:pPr algn="ctr"/>
            <a:t>1186.89</a:t>
          </a:fld>
          <a:endParaRPr lang="en-US" sz="1600" b="1"/>
        </a:p>
      </xdr:txBody>
    </xdr:sp>
    <xdr:clientData/>
  </xdr:twoCellAnchor>
  <xdr:twoCellAnchor>
    <xdr:from>
      <xdr:col>8</xdr:col>
      <xdr:colOff>190500</xdr:colOff>
      <xdr:row>4</xdr:row>
      <xdr:rowOff>76200</xdr:rowOff>
    </xdr:from>
    <xdr:to>
      <xdr:col>10</xdr:col>
      <xdr:colOff>373380</xdr:colOff>
      <xdr:row>5</xdr:row>
      <xdr:rowOff>137160</xdr:rowOff>
    </xdr:to>
    <xdr:sp macro="" textlink="'Descriptive Stats'!J4">
      <xdr:nvSpPr>
        <xdr:cNvPr id="9" name="TextBox 8">
          <a:extLst>
            <a:ext uri="{FF2B5EF4-FFF2-40B4-BE49-F238E27FC236}">
              <a16:creationId xmlns:a16="http://schemas.microsoft.com/office/drawing/2014/main" id="{00000000-0008-0000-0C00-000009000000}"/>
            </a:ext>
          </a:extLst>
        </xdr:cNvPr>
        <xdr:cNvSpPr txBox="1"/>
      </xdr:nvSpPr>
      <xdr:spPr>
        <a:xfrm>
          <a:off x="5067300" y="990600"/>
          <a:ext cx="14020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59BC18-F1BB-4B74-90D0-095F5FF3A0F5}" type="TxLink">
            <a:rPr lang="en-US" sz="1600" b="1" i="0" u="none" strike="noStrike">
              <a:solidFill>
                <a:srgbClr val="000000"/>
              </a:solidFill>
              <a:latin typeface="Calibri"/>
              <a:cs typeface="Calibri"/>
            </a:rPr>
            <a:pPr algn="ctr"/>
            <a:t>37%</a:t>
          </a:fld>
          <a:endParaRPr lang="en-US" sz="1600" b="1"/>
        </a:p>
      </xdr:txBody>
    </xdr:sp>
    <xdr:clientData/>
  </xdr:twoCellAnchor>
  <xdr:twoCellAnchor>
    <xdr:from>
      <xdr:col>12</xdr:col>
      <xdr:colOff>243840</xdr:colOff>
      <xdr:row>4</xdr:row>
      <xdr:rowOff>76200</xdr:rowOff>
    </xdr:from>
    <xdr:to>
      <xdr:col>14</xdr:col>
      <xdr:colOff>426720</xdr:colOff>
      <xdr:row>5</xdr:row>
      <xdr:rowOff>137160</xdr:rowOff>
    </xdr:to>
    <xdr:sp macro="" textlink="'Descriptive Stats'!J5">
      <xdr:nvSpPr>
        <xdr:cNvPr id="10" name="TextBox 9">
          <a:extLst>
            <a:ext uri="{FF2B5EF4-FFF2-40B4-BE49-F238E27FC236}">
              <a16:creationId xmlns:a16="http://schemas.microsoft.com/office/drawing/2014/main" id="{00000000-0008-0000-0C00-00000A000000}"/>
            </a:ext>
          </a:extLst>
        </xdr:cNvPr>
        <xdr:cNvSpPr txBox="1"/>
      </xdr:nvSpPr>
      <xdr:spPr>
        <a:xfrm>
          <a:off x="7559040" y="990600"/>
          <a:ext cx="14020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D2B132-6A5E-4CC5-9C17-1F86143B44D1}" type="TxLink">
            <a:rPr lang="en-US" sz="1600" b="1" i="0" u="none" strike="noStrike">
              <a:solidFill>
                <a:srgbClr val="000000"/>
              </a:solidFill>
              <a:latin typeface="Calibri"/>
              <a:cs typeface="Calibri"/>
            </a:rPr>
            <a:pPr algn="ctr"/>
            <a:t>3.9 / 5</a:t>
          </a:fld>
          <a:endParaRPr lang="en-US" sz="1600" b="1"/>
        </a:p>
      </xdr:txBody>
    </xdr:sp>
    <xdr:clientData/>
  </xdr:twoCellAnchor>
  <xdr:twoCellAnchor>
    <xdr:from>
      <xdr:col>16</xdr:col>
      <xdr:colOff>236220</xdr:colOff>
      <xdr:row>4</xdr:row>
      <xdr:rowOff>83820</xdr:rowOff>
    </xdr:from>
    <xdr:to>
      <xdr:col>18</xdr:col>
      <xdr:colOff>419100</xdr:colOff>
      <xdr:row>5</xdr:row>
      <xdr:rowOff>144780</xdr:rowOff>
    </xdr:to>
    <xdr:sp macro="" textlink="'Descriptive Stats'!J7">
      <xdr:nvSpPr>
        <xdr:cNvPr id="11" name="TextBox 10">
          <a:extLst>
            <a:ext uri="{FF2B5EF4-FFF2-40B4-BE49-F238E27FC236}">
              <a16:creationId xmlns:a16="http://schemas.microsoft.com/office/drawing/2014/main" id="{00000000-0008-0000-0C00-00000B000000}"/>
            </a:ext>
          </a:extLst>
        </xdr:cNvPr>
        <xdr:cNvSpPr txBox="1"/>
      </xdr:nvSpPr>
      <xdr:spPr>
        <a:xfrm>
          <a:off x="9989820" y="998220"/>
          <a:ext cx="14020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8E4156-EB11-4A91-9ADF-BBEC0D5B96D6}" type="TxLink">
            <a:rPr lang="en-US" sz="1600" b="1" i="0" u="none" strike="noStrike">
              <a:solidFill>
                <a:srgbClr val="000000"/>
              </a:solidFill>
              <a:latin typeface="Calibri"/>
              <a:cs typeface="Calibri"/>
            </a:rPr>
            <a:pPr algn="ctr"/>
            <a:t>723</a:t>
          </a:fld>
          <a:endParaRPr lang="en-US" sz="1600" b="1"/>
        </a:p>
      </xdr:txBody>
    </xdr:sp>
    <xdr:clientData/>
  </xdr:twoCellAnchor>
  <xdr:twoCellAnchor>
    <xdr:from>
      <xdr:col>0</xdr:col>
      <xdr:colOff>0</xdr:colOff>
      <xdr:row>21</xdr:row>
      <xdr:rowOff>7620</xdr:rowOff>
    </xdr:from>
    <xdr:to>
      <xdr:col>5</xdr:col>
      <xdr:colOff>601980</xdr:colOff>
      <xdr:row>34</xdr:row>
      <xdr:rowOff>152400</xdr:rowOff>
    </xdr:to>
    <xdr:graphicFrame macro="">
      <xdr:nvGraphicFramePr>
        <xdr:cNvPr id="20" name="Chart 19">
          <a:extLst>
            <a:ext uri="{FF2B5EF4-FFF2-40B4-BE49-F238E27FC236}">
              <a16:creationId xmlns:a16="http://schemas.microsoft.com/office/drawing/2014/main" id="{00000000-0008-0000-0C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21</xdr:row>
      <xdr:rowOff>15240</xdr:rowOff>
    </xdr:from>
    <xdr:to>
      <xdr:col>13</xdr:col>
      <xdr:colOff>22860</xdr:colOff>
      <xdr:row>34</xdr:row>
      <xdr:rowOff>160020</xdr:rowOff>
    </xdr:to>
    <xdr:graphicFrame macro="">
      <xdr:nvGraphicFramePr>
        <xdr:cNvPr id="21" name="Chart 20">
          <a:extLst>
            <a:ext uri="{FF2B5EF4-FFF2-40B4-BE49-F238E27FC236}">
              <a16:creationId xmlns:a16="http://schemas.microsoft.com/office/drawing/2014/main" id="{00000000-0008-0000-0C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xdr:colOff>
      <xdr:row>21</xdr:row>
      <xdr:rowOff>7620</xdr:rowOff>
    </xdr:from>
    <xdr:to>
      <xdr:col>20</xdr:col>
      <xdr:colOff>0</xdr:colOff>
      <xdr:row>34</xdr:row>
      <xdr:rowOff>144780</xdr:rowOff>
    </xdr:to>
    <xdr:graphicFrame macro="">
      <xdr:nvGraphicFramePr>
        <xdr:cNvPr id="22" name="Chart 21">
          <a:extLst>
            <a:ext uri="{FF2B5EF4-FFF2-40B4-BE49-F238E27FC236}">
              <a16:creationId xmlns:a16="http://schemas.microsoft.com/office/drawing/2014/main" id="{00000000-0008-0000-0C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0</xdr:rowOff>
    </xdr:from>
    <xdr:to>
      <xdr:col>6</xdr:col>
      <xdr:colOff>7620</xdr:colOff>
      <xdr:row>48</xdr:row>
      <xdr:rowOff>160020</xdr:rowOff>
    </xdr:to>
    <xdr:graphicFrame macro="">
      <xdr:nvGraphicFramePr>
        <xdr:cNvPr id="23" name="Chart 22">
          <a:extLst>
            <a:ext uri="{FF2B5EF4-FFF2-40B4-BE49-F238E27FC236}">
              <a16:creationId xmlns:a16="http://schemas.microsoft.com/office/drawing/2014/main" id="{00000000-0008-0000-0C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xdr:colOff>
      <xdr:row>36</xdr:row>
      <xdr:rowOff>0</xdr:rowOff>
    </xdr:from>
    <xdr:to>
      <xdr:col>13</xdr:col>
      <xdr:colOff>0</xdr:colOff>
      <xdr:row>48</xdr:row>
      <xdr:rowOff>137160</xdr:rowOff>
    </xdr:to>
    <xdr:graphicFrame macro="">
      <xdr:nvGraphicFramePr>
        <xdr:cNvPr id="24" name="Chart 23">
          <a:extLst>
            <a:ext uri="{FF2B5EF4-FFF2-40B4-BE49-F238E27FC236}">
              <a16:creationId xmlns:a16="http://schemas.microsoft.com/office/drawing/2014/main" id="{00000000-0008-0000-0C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36</xdr:row>
      <xdr:rowOff>22860</xdr:rowOff>
    </xdr:from>
    <xdr:to>
      <xdr:col>20</xdr:col>
      <xdr:colOff>15240</xdr:colOff>
      <xdr:row>48</xdr:row>
      <xdr:rowOff>152400</xdr:rowOff>
    </xdr:to>
    <xdr:graphicFrame macro="">
      <xdr:nvGraphicFramePr>
        <xdr:cNvPr id="25" name="Chart 24">
          <a:extLst>
            <a:ext uri="{FF2B5EF4-FFF2-40B4-BE49-F238E27FC236}">
              <a16:creationId xmlns:a16="http://schemas.microsoft.com/office/drawing/2014/main" id="{00000000-0008-0000-0C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83820</xdr:colOff>
      <xdr:row>21</xdr:row>
      <xdr:rowOff>22860</xdr:rowOff>
    </xdr:from>
    <xdr:to>
      <xdr:col>23</xdr:col>
      <xdr:colOff>83820</xdr:colOff>
      <xdr:row>34</xdr:row>
      <xdr:rowOff>112395</xdr:rowOff>
    </xdr:to>
    <mc:AlternateContent xmlns:mc="http://schemas.openxmlformats.org/markup-compatibility/2006" xmlns:a14="http://schemas.microsoft.com/office/drawing/2010/main">
      <mc:Choice Requires="a14">
        <xdr:graphicFrame macro="">
          <xdr:nvGraphicFramePr>
            <xdr:cNvPr id="27" name="Discount Category">
              <a:extLst>
                <a:ext uri="{FF2B5EF4-FFF2-40B4-BE49-F238E27FC236}">
                  <a16:creationId xmlns:a16="http://schemas.microsoft.com/office/drawing/2014/main" id="{00000000-0008-0000-0C00-00001B00000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2275820" y="392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8</xdr:row>
      <xdr:rowOff>7621</xdr:rowOff>
    </xdr:from>
    <xdr:to>
      <xdr:col>23</xdr:col>
      <xdr:colOff>83820</xdr:colOff>
      <xdr:row>20</xdr:row>
      <xdr:rowOff>22861</xdr:rowOff>
    </xdr:to>
    <mc:AlternateContent xmlns:mc="http://schemas.openxmlformats.org/markup-compatibility/2006" xmlns:a14="http://schemas.microsoft.com/office/drawing/2010/main">
      <mc:Choice Requires="a14">
        <xdr:graphicFrame macro="">
          <xdr:nvGraphicFramePr>
            <xdr:cNvPr id="28" name="Rating Category">
              <a:extLst>
                <a:ext uri="{FF2B5EF4-FFF2-40B4-BE49-F238E27FC236}">
                  <a16:creationId xmlns:a16="http://schemas.microsoft.com/office/drawing/2014/main" id="{00000000-0008-0000-0C00-00001C00000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275820" y="1516381"/>
              <a:ext cx="1828800" cy="222504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129540</xdr:colOff>
      <xdr:row>36</xdr:row>
      <xdr:rowOff>15241</xdr:rowOff>
    </xdr:from>
    <xdr:to>
      <xdr:col>23</xdr:col>
      <xdr:colOff>129540</xdr:colOff>
      <xdr:row>48</xdr:row>
      <xdr:rowOff>0</xdr:rowOff>
    </xdr:to>
    <mc:AlternateContent xmlns:mc="http://schemas.openxmlformats.org/markup-compatibility/2006" xmlns:a14="http://schemas.microsoft.com/office/drawing/2010/main">
      <mc:Choice Requires="a14">
        <xdr:graphicFrame macro="">
          <xdr:nvGraphicFramePr>
            <xdr:cNvPr id="29" name="Price Category">
              <a:extLst>
                <a:ext uri="{FF2B5EF4-FFF2-40B4-BE49-F238E27FC236}">
                  <a16:creationId xmlns:a16="http://schemas.microsoft.com/office/drawing/2014/main" id="{00000000-0008-0000-0C00-00001D000000}"/>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12321540" y="6659881"/>
              <a:ext cx="1828800" cy="21793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436245</xdr:colOff>
      <xdr:row>5</xdr:row>
      <xdr:rowOff>180975</xdr:rowOff>
    </xdr:from>
    <xdr:to>
      <xdr:col>16</xdr:col>
      <xdr:colOff>169545</xdr:colOff>
      <xdr:row>7</xdr:row>
      <xdr:rowOff>171450</xdr:rowOff>
    </xdr:to>
    <xdr:sp macro="" textlink="">
      <xdr:nvSpPr>
        <xdr:cNvPr id="33" name="TextBox 32">
          <a:extLst>
            <a:ext uri="{FF2B5EF4-FFF2-40B4-BE49-F238E27FC236}">
              <a16:creationId xmlns:a16="http://schemas.microsoft.com/office/drawing/2014/main" id="{00000000-0008-0000-0C00-000021000000}"/>
            </a:ext>
          </a:extLst>
        </xdr:cNvPr>
        <xdr:cNvSpPr txBox="1"/>
      </xdr:nvSpPr>
      <xdr:spPr>
        <a:xfrm>
          <a:off x="4703445" y="1141095"/>
          <a:ext cx="5219700" cy="35623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baseline="0">
              <a:uFill>
                <a:solidFill>
                  <a:schemeClr val="tx1">
                    <a:lumMod val="50000"/>
                    <a:lumOff val="50000"/>
                  </a:schemeClr>
                </a:solidFill>
              </a:uFill>
            </a:rPr>
            <a:t>PRODUCT PERFORMANCE</a:t>
          </a:r>
        </a:p>
      </xdr:txBody>
    </xdr:sp>
    <xdr:clientData/>
  </xdr:twoCellAnchor>
  <xdr:twoCellAnchor>
    <xdr:from>
      <xdr:col>7</xdr:col>
      <xdr:colOff>441960</xdr:colOff>
      <xdr:row>20</xdr:row>
      <xdr:rowOff>9525</xdr:rowOff>
    </xdr:from>
    <xdr:to>
      <xdr:col>16</xdr:col>
      <xdr:colOff>175260</xdr:colOff>
      <xdr:row>21</xdr:row>
      <xdr:rowOff>165735</xdr:rowOff>
    </xdr:to>
    <xdr:sp macro="" textlink="">
      <xdr:nvSpPr>
        <xdr:cNvPr id="34" name="TextBox 33">
          <a:extLst>
            <a:ext uri="{FF2B5EF4-FFF2-40B4-BE49-F238E27FC236}">
              <a16:creationId xmlns:a16="http://schemas.microsoft.com/office/drawing/2014/main" id="{00000000-0008-0000-0C00-000022000000}"/>
            </a:ext>
          </a:extLst>
        </xdr:cNvPr>
        <xdr:cNvSpPr txBox="1"/>
      </xdr:nvSpPr>
      <xdr:spPr>
        <a:xfrm>
          <a:off x="4575810" y="3876675"/>
          <a:ext cx="5048250" cy="34671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baseline="0">
              <a:uFill>
                <a:solidFill>
                  <a:schemeClr val="tx1">
                    <a:lumMod val="50000"/>
                    <a:lumOff val="50000"/>
                  </a:schemeClr>
                </a:solidFill>
              </a:uFill>
            </a:rPr>
            <a:t>RELATIONSHIPS &amp; TRENDS</a:t>
          </a:r>
        </a:p>
      </xdr:txBody>
    </xdr:sp>
    <xdr:clientData/>
  </xdr:twoCellAnchor>
  <xdr:twoCellAnchor>
    <xdr:from>
      <xdr:col>7</xdr:col>
      <xdr:colOff>533400</xdr:colOff>
      <xdr:row>34</xdr:row>
      <xdr:rowOff>76200</xdr:rowOff>
    </xdr:from>
    <xdr:to>
      <xdr:col>16</xdr:col>
      <xdr:colOff>266700</xdr:colOff>
      <xdr:row>36</xdr:row>
      <xdr:rowOff>66675</xdr:rowOff>
    </xdr:to>
    <xdr:sp macro="" textlink="">
      <xdr:nvSpPr>
        <xdr:cNvPr id="35" name="TextBox 34">
          <a:extLst>
            <a:ext uri="{FF2B5EF4-FFF2-40B4-BE49-F238E27FC236}">
              <a16:creationId xmlns:a16="http://schemas.microsoft.com/office/drawing/2014/main" id="{00000000-0008-0000-0C00-000023000000}"/>
            </a:ext>
          </a:extLst>
        </xdr:cNvPr>
        <xdr:cNvSpPr txBox="1"/>
      </xdr:nvSpPr>
      <xdr:spPr>
        <a:xfrm>
          <a:off x="4800600" y="6355080"/>
          <a:ext cx="5219700" cy="35623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baseline="0">
              <a:uFill>
                <a:solidFill>
                  <a:schemeClr val="tx1">
                    <a:lumMod val="50000"/>
                    <a:lumOff val="50000"/>
                  </a:schemeClr>
                </a:solidFill>
              </a:uFill>
            </a:rPr>
            <a:t>CATEGORY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0</xdr:row>
      <xdr:rowOff>173355</xdr:rowOff>
    </xdr:from>
    <xdr:to>
      <xdr:col>8</xdr:col>
      <xdr:colOff>403860</xdr:colOff>
      <xdr:row>15</xdr:row>
      <xdr:rowOff>173355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474345</xdr:colOff>
      <xdr:row>17</xdr:row>
      <xdr:rowOff>28575</xdr:rowOff>
    </xdr:from>
    <xdr:to>
      <xdr:col>8</xdr:col>
      <xdr:colOff>459105</xdr:colOff>
      <xdr:row>32</xdr:row>
      <xdr:rowOff>28575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32</xdr:row>
      <xdr:rowOff>180975</xdr:rowOff>
    </xdr:from>
    <xdr:to>
      <xdr:col>8</xdr:col>
      <xdr:colOff>266700</xdr:colOff>
      <xdr:row>47</xdr:row>
      <xdr:rowOff>180975</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0</xdr:row>
      <xdr:rowOff>171450</xdr:rowOff>
    </xdr:from>
    <xdr:to>
      <xdr:col>17</xdr:col>
      <xdr:colOff>95250</xdr:colOff>
      <xdr:row>15</xdr:row>
      <xdr:rowOff>171450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400050</xdr:colOff>
      <xdr:row>17</xdr:row>
      <xdr:rowOff>9525</xdr:rowOff>
    </xdr:from>
    <xdr:to>
      <xdr:col>17</xdr:col>
      <xdr:colOff>95250</xdr:colOff>
      <xdr:row>32</xdr:row>
      <xdr:rowOff>9525</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419100</xdr:colOff>
      <xdr:row>33</xdr:row>
      <xdr:rowOff>9525</xdr:rowOff>
    </xdr:from>
    <xdr:to>
      <xdr:col>17</xdr:col>
      <xdr:colOff>114300</xdr:colOff>
      <xdr:row>48</xdr:row>
      <xdr:rowOff>9525</xdr:rowOff>
    </xdr:to>
    <xdr:graphicFrame macro="">
      <xdr:nvGraphicFramePr>
        <xdr:cNvPr id="7" name="Chart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K. Ndalamia" refreshedDate="46292.981625231485" createdVersion="4" refreshedVersion="4" minRefreshableVersion="3" recordCount="112" xr:uid="{00000000-000A-0000-FFFF-FFFF07000000}">
  <cacheSource type="worksheet">
    <worksheetSource ref="A1:J113" sheet="Enrichment"/>
  </cacheSource>
  <cacheFields count="10">
    <cacheField name="Product" numFmtId="0">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0">
      <sharedItems containsSemiMixedTypes="0" containsString="0" containsNumber="1" containsInteger="1" minValue="0" maxValue="69"/>
    </cacheField>
    <cacheField name="Rating" numFmtId="0">
      <sharedItems containsMixedTypes="1" containsNumber="1" minValue="2" maxValue="5"/>
    </cacheField>
    <cacheField name="Discount Amount" numFmtId="0">
      <sharedItems containsSemiMixedTypes="0" containsString="0" containsNumber="1" containsInteger="1" minValue="24" maxValue="2585"/>
    </cacheField>
    <cacheField name="Rating Category" numFmtId="0">
      <sharedItems count="5">
        <s v="Poor"/>
        <s v="Excellent"/>
        <s v="Good"/>
        <s v="Average"/>
        <s v="Not Rated"/>
      </sharedItems>
    </cacheField>
    <cacheField name="Discount Category" numFmtId="0">
      <sharedItems count="3">
        <s v="High"/>
        <s v="Medium"/>
        <s v="Low"/>
      </sharedItems>
    </cacheField>
    <cacheField name="Price Category" numFmtId="0">
      <sharedItems count="3">
        <s v="Low"/>
        <s v="High"/>
        <s v="Medium"/>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K. Ndalamia" refreshedDate="46293.403350694447" createdVersion="4" refreshedVersion="4" minRefreshableVersion="3" recordCount="112" xr:uid="{00000000-000A-0000-FFFF-FFFF08000000}">
  <cacheSource type="worksheet">
    <worksheetSource ref="A1:K113" sheet="Enrichment"/>
  </cacheSource>
  <cacheFields count="11">
    <cacheField name="Product" numFmtId="0">
      <sharedItems count="109">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2 Pieces Cake Decorating Tool Set Gift Kit Baking Supplies"/>
        <s v="53Pcs/Set Yarn Knitting Crochet Hooks With Bag - Fortune Cat"/>
        <s v="Agapeon Toothbrush Holder And Toothpaste Dispenser"/>
        <s v="VIC Wireless Vacuum Cleaner Dual Use For Home And Car 120W High Power Powerful"/>
        <s v="220V 60W Electric Soldering Iron Kits With Tools, Tips, And Multimeter"/>
        <s v="Intelligent  LED Body Sensor Wireless Lighting Night Light USB"/>
        <s v="Metal Decorative Hooks Key Hangers Entryway Wall Hooks Towel Hooks - Home"/>
        <s v="Foldable Overbed Table/Desk"/>
        <s v="3PCS Single Head Knitting Crochet Sweater Needle Set"/>
        <s v="12 Litre Black Insulated Lunch Box"/>
        <s v="5-PCS Stainless Steel Cooking Pot Set With Steamed Slices"/>
        <s v="Genebre 115 In 1 Screwdriver Repairing Tool Set For IPhone Cellphone Hand Tool"/>
        <s v="40cm Gold DIY Acrylic Wall Sticker Clock"/>
        <s v="Portable Wardrobe Nonwoven With 3 Hanging Rods And 6 Storage Shelves"/>
        <s v="12 Litre Insulated Lunch Box Grey"/>
        <s v="Mythco 120COB Solar Wall Ligt With Motion Sensor And Remote Control 3 Modes"/>
        <s v="Multifunction Laser Level With Adjustment Tripod"/>
        <s v="Exfoliate And Exfoliate Face Towel - Black"/>
        <s v="LED Eye Protection  Desk Lamp , Study, Reading, USB Fan - Double Pen Holder"/>
        <s v="Weighing Scale Digital Bathroom Body Fat Scale USB-Black"/>
        <s v="LASA 3 Tier Bamboo Shoe Bench Storage Shelf"/>
        <s v="380ML USB Rechargeable Portable Small Blenders And Juicers"/>
        <s v="Electric LED UV Mosquito Killer Lamp, Outdoor/Indoor Fly Killer Trap Light -USB"/>
        <s v="LASA Digital Thermometer And Hydrometer"/>
        <s v="LED Romantic Spaceship Starry Sky Projector,Children's Bedroom Night Light-Blue"/>
        <s v="5 Pieces/set Of Stainless Steel Induction Cooker Pots"/>
        <s v="Artificial Potted Flowers Room Decorative Flowers (2 Pieces)"/>
        <s v="Watercolour Gold Foil Textured Print Pillow Cover"/>
        <s v="7-piece Set Of Storage Bags, Travel Storage Bags, Shoe Bags"/>
        <s v="Portable Home Small Air Humidifier 3-Speed Fan - Green"/>
        <s v="LASA FOLDING TABLE SERVING STAND"/>
        <s v="13 In 1 Home Repair Tools Box Kit Set"/>
        <s v="LED Wall Digital Alarm Clock Study Home 12 / 24H Clock Calendar"/>
        <s v="32PCS Portable Cordless Drill Set With Cyclic Battery Drive -26 Variable Speed"/>
        <s v="Large Lazy Inflatable Sofa Chairs PVC Lounger Seat Bag"/>
        <s v="Wrought Iron Bathroom Shelf Wall Mounted Free Punch Toilet Rack"/>
        <s v="LASA Aluminum Folding Truck Hand Cart - 68kg Max"/>
        <s v="115  Piece Set Of Multifunctional Precision Screwdrivers"/>
        <s v="Desk Foldable Fan Adjustable Fan Strong Wind 3 Gear Usb"/>
        <s v="Anti-Skid Absorbent Insulation Coaster  For Home Office"/>
        <s v="Peacock  Throw Pillow Cushion Case For Home Car"/>
        <s v="Classic Black Cat Cotton Hemp Pillow Case For Home Car"/>
        <s v="1/2/3 Seater Elastic Sofa Cover,Living Room/Home Decor Chair Cover-Grey"/>
        <s v="DIY File Folder, Office Drawer File Holder, Pen Holder, Desktop Storage Rack"/>
        <s v="Memory Foam Neck Pillow Cover, With Pillow Core - 50*30cm"/>
        <s v="Bedroom Simple Floor Hanging Clothes Rack Single Pole Hat Rack - White"/>
        <s v="Household Pineapple Peeler Peeler"/>
        <s v="Konka Healty Electric Kettle, 24-hour Heat Preservation,1.5L,800W, White"/>
        <s v="Wall-mounted Sticker Punch-free Plug Fixer"/>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9">
      <sharedItems containsSemiMixedTypes="0" containsString="0" containsNumber="1" minValue="0.01" maxValue="0.64" count="46">
        <n v="0.49"/>
        <n v="0.24"/>
        <n v="0.35"/>
        <n v="0.34"/>
        <n v="0.41"/>
        <n v="0.27"/>
        <n v="0.25"/>
        <n v="0.3"/>
        <n v="0.45"/>
        <n v="0.22"/>
        <n v="0.09"/>
        <n v="0.52"/>
        <n v="0.47"/>
        <n v="0.23"/>
        <n v="0.53"/>
        <n v="0.32"/>
        <n v="0.55000000000000004"/>
        <n v="0.2"/>
        <n v="0.18"/>
        <n v="0.54"/>
        <n v="0.33"/>
        <n v="0.48"/>
        <n v="0.37"/>
        <n v="0.5"/>
        <n v="0.42"/>
        <n v="0.13"/>
        <n v="0.43"/>
        <n v="0.26"/>
        <n v="0.19"/>
        <n v="0.39"/>
        <n v="0.28999999999999998"/>
        <n v="0.38"/>
        <n v="0.51"/>
        <n v="0.46"/>
        <n v="0.4"/>
        <n v="0.21"/>
        <n v="0.02"/>
        <n v="0.61"/>
        <n v="0.03"/>
        <n v="0.04"/>
        <n v="0.36"/>
        <n v="0.14000000000000001"/>
        <n v="0.11"/>
        <n v="0.08"/>
        <n v="0.01"/>
        <n v="0.64"/>
      </sharedItems>
    </cacheField>
    <cacheField name="Review" numFmtId="0">
      <sharedItems containsSemiMixedTypes="0" containsString="0" containsNumber="1" containsInteger="1" minValue="0" maxValue="69" count="24">
        <n v="69"/>
        <n v="55"/>
        <n v="49"/>
        <n v="44"/>
        <n v="39"/>
        <n v="36"/>
        <n v="32"/>
        <n v="24"/>
        <n v="20"/>
        <n v="17"/>
        <n v="16"/>
        <n v="15"/>
        <n v="14"/>
        <n v="13"/>
        <n v="12"/>
        <n v="10"/>
        <n v="9"/>
        <n v="7"/>
        <n v="6"/>
        <n v="5"/>
        <n v="3"/>
        <n v="2"/>
        <n v="1"/>
        <n v="0"/>
      </sharedItems>
    </cacheField>
    <cacheField name="Rating" numFmtId="0">
      <sharedItems containsMixedTypes="1" containsNumber="1" minValue="2" maxValue="5"/>
    </cacheField>
    <cacheField name="Discount Amount" numFmtId="0">
      <sharedItems containsSemiMixedTypes="0" containsString="0" containsNumber="1" containsInteger="1" minValue="24" maxValue="2585"/>
    </cacheField>
    <cacheField name="Rating Category" numFmtId="0">
      <sharedItems count="5">
        <s v="Poor"/>
        <s v="Excellent"/>
        <s v="Good"/>
        <s v="Average"/>
        <s v="Not Rated"/>
      </sharedItems>
    </cacheField>
    <cacheField name="Discount Category" numFmtId="0">
      <sharedItems count="3">
        <s v="High"/>
        <s v="Medium"/>
        <s v="Low"/>
      </sharedItems>
    </cacheField>
    <cacheField name="Price Category" numFmtId="0">
      <sharedItems count="3">
        <s v="Low"/>
        <s v="High"/>
        <s v="Medium"/>
      </sharedItems>
    </cacheField>
    <cacheField name="Listing ID" numFmtId="0">
      <sharedItems containsSemiMixedTypes="0" containsString="0" containsNumber="1" containsInteger="1" minValue="1" maxValue="112" count="11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2">
  <r>
    <s v="120W Cordless Vacuum Cleaners Handheld Electric Vacuum Cleaner"/>
    <n v="445"/>
    <n v="873"/>
    <n v="0.49"/>
    <n v="69"/>
    <n v="2.8"/>
    <n v="428"/>
    <x v="0"/>
    <x v="0"/>
    <x v="0"/>
  </r>
  <r>
    <s v="137 Pieces Cake Decorating Tool Set Baking Supplies"/>
    <n v="2319"/>
    <n v="3032"/>
    <n v="0.24"/>
    <n v="55"/>
    <n v="4.5999999999999996"/>
    <n v="713"/>
    <x v="1"/>
    <x v="1"/>
    <x v="1"/>
  </r>
  <r>
    <s v="Electronic Digital Display Vernier Caliper"/>
    <n v="420"/>
    <n v="647"/>
    <n v="0.35"/>
    <n v="49"/>
    <n v="4.5999999999999996"/>
    <n v="227"/>
    <x v="1"/>
    <x v="1"/>
    <x v="0"/>
  </r>
  <r>
    <s v="3D Waterproof EVA Plastic Shower Curtain 1.8*2Mtrs"/>
    <n v="998"/>
    <n v="1966"/>
    <n v="0.49"/>
    <n v="44"/>
    <n v="4.5999999999999996"/>
    <n v="968"/>
    <x v="1"/>
    <x v="0"/>
    <x v="2"/>
  </r>
  <r>
    <s v="100 Pcs Crochet Hook Tool Set Knitting Hook Set With Box"/>
    <n v="990"/>
    <n v="1500"/>
    <n v="0.34"/>
    <n v="39"/>
    <n v="4.7"/>
    <n v="510"/>
    <x v="1"/>
    <x v="1"/>
    <x v="2"/>
  </r>
  <r>
    <s v="Punch-free Great Load Bearing Bathroom Storage Rack Wall Shelf-White"/>
    <n v="389"/>
    <n v="656"/>
    <n v="0.41"/>
    <n v="36"/>
    <n v="4.3"/>
    <n v="267"/>
    <x v="2"/>
    <x v="0"/>
    <x v="0"/>
  </r>
  <r>
    <s v="53 Pieces/Set Yarn Knitting Crochet Hooks With Bag - Pansies"/>
    <n v="1980"/>
    <n v="2699"/>
    <n v="0.27"/>
    <n v="32"/>
    <n v="4.5"/>
    <n v="719"/>
    <x v="2"/>
    <x v="1"/>
    <x v="1"/>
  </r>
  <r>
    <s v="Portable Mini Cordless Car Vacuum Cleaner - Blue"/>
    <n v="2199"/>
    <n v="2923"/>
    <n v="0.25"/>
    <n v="24"/>
    <n v="4.5999999999999996"/>
    <n v="724"/>
    <x v="1"/>
    <x v="1"/>
    <x v="1"/>
  </r>
  <r>
    <s v="52 Pieces Cake Decorating Tool Set Gift Kit Baking Supplies"/>
    <n v="1758"/>
    <n v="2499"/>
    <n v="0.3"/>
    <n v="20"/>
    <n v="4.0999999999999996"/>
    <n v="741"/>
    <x v="2"/>
    <x v="1"/>
    <x v="1"/>
  </r>
  <r>
    <s v="53Pcs/Set Yarn Knitting Crochet Hooks With Bag - Fortune Cat"/>
    <n v="1940"/>
    <n v="2650"/>
    <n v="0.27"/>
    <n v="20"/>
    <n v="4.7"/>
    <n v="710"/>
    <x v="1"/>
    <x v="1"/>
    <x v="1"/>
  </r>
  <r>
    <s v="Agapeon Toothbrush Holder And Toothpaste Dispenser"/>
    <n v="382"/>
    <n v="700"/>
    <n v="0.45"/>
    <n v="17"/>
    <n v="2.6"/>
    <n v="318"/>
    <x v="0"/>
    <x v="0"/>
    <x v="0"/>
  </r>
  <r>
    <s v="VIC Wireless Vacuum Cleaner Dual Use For Home And Car 120W High Power Powerful"/>
    <n v="1220"/>
    <n v="1555"/>
    <n v="0.22"/>
    <n v="16"/>
    <n v="2.9"/>
    <n v="335"/>
    <x v="0"/>
    <x v="1"/>
    <x v="2"/>
  </r>
  <r>
    <s v="220V 60W Electric Soldering Iron Kits With Tools, Tips, And Multimeter"/>
    <n v="2999"/>
    <n v="3290"/>
    <n v="0.09"/>
    <n v="15"/>
    <n v="4"/>
    <n v="291"/>
    <x v="3"/>
    <x v="2"/>
    <x v="1"/>
  </r>
  <r>
    <s v="Intelligent  LED Body Sensor Wireless Lighting Night Light USB"/>
    <n v="325"/>
    <n v="680"/>
    <n v="0.52"/>
    <n v="15"/>
    <n v="2.7"/>
    <n v="355"/>
    <x v="0"/>
    <x v="0"/>
    <x v="0"/>
  </r>
  <r>
    <s v="Metal Decorative Hooks Key Hangers Entryway Wall Hooks Towel Hooks - Home"/>
    <n v="527"/>
    <n v="999"/>
    <n v="0.47"/>
    <n v="14"/>
    <n v="4.0999999999999996"/>
    <n v="472"/>
    <x v="2"/>
    <x v="0"/>
    <x v="2"/>
  </r>
  <r>
    <s v="Foldable Overbed Table/Desk"/>
    <n v="1650"/>
    <n v="2150"/>
    <n v="0.23"/>
    <n v="14"/>
    <n v="4.4000000000000004"/>
    <n v="500"/>
    <x v="2"/>
    <x v="1"/>
    <x v="2"/>
  </r>
  <r>
    <s v="3PCS Single Head Knitting Crochet Sweater Needle Set"/>
    <n v="38"/>
    <n v="80"/>
    <n v="0.53"/>
    <n v="13"/>
    <n v="3.3"/>
    <n v="42"/>
    <x v="3"/>
    <x v="0"/>
    <x v="0"/>
  </r>
  <r>
    <s v="12 Litre Black Insulated Lunch Box"/>
    <n v="1350"/>
    <n v="1990"/>
    <n v="0.32"/>
    <n v="13"/>
    <n v="3.8"/>
    <n v="640"/>
    <x v="3"/>
    <x v="1"/>
    <x v="2"/>
  </r>
  <r>
    <s v="5-PCS Stainless Steel Cooking Pot Set With Steamed Slices"/>
    <n v="2115"/>
    <n v="4700"/>
    <n v="0.55000000000000004"/>
    <n v="13"/>
    <n v="2.1"/>
    <n v="2585"/>
    <x v="0"/>
    <x v="0"/>
    <x v="1"/>
  </r>
  <r>
    <s v="Genebre 115 In 1 Screwdriver Repairing Tool Set For IPhone Cellphone Hand Tool"/>
    <n v="799"/>
    <n v="999"/>
    <n v="0.2"/>
    <n v="12"/>
    <n v="4.0999999999999996"/>
    <n v="200"/>
    <x v="2"/>
    <x v="1"/>
    <x v="2"/>
  </r>
  <r>
    <s v="40cm Gold DIY Acrylic Wall Sticker Clock"/>
    <n v="552"/>
    <n v="1035"/>
    <n v="0.47"/>
    <n v="12"/>
    <n v="4.8"/>
    <n v="483"/>
    <x v="1"/>
    <x v="0"/>
    <x v="2"/>
  </r>
  <r>
    <s v="Portable Wardrobe Nonwoven With 3 Hanging Rods And 6 Storage Shelves"/>
    <n v="2880"/>
    <n v="3520"/>
    <n v="0.18"/>
    <n v="12"/>
    <n v="3.8"/>
    <n v="640"/>
    <x v="3"/>
    <x v="2"/>
    <x v="1"/>
  </r>
  <r>
    <s v="12 Litre Insulated Lunch Box Grey"/>
    <n v="980"/>
    <n v="1490"/>
    <n v="0.34"/>
    <n v="12"/>
    <n v="4.7"/>
    <n v="510"/>
    <x v="1"/>
    <x v="1"/>
    <x v="2"/>
  </r>
  <r>
    <s v="Mythco 120COB Solar Wall Ligt With Motion Sensor And Remote Control 3 Modes"/>
    <n v="458"/>
    <n v="986"/>
    <n v="0.54"/>
    <n v="10"/>
    <n v="3"/>
    <n v="528"/>
    <x v="3"/>
    <x v="0"/>
    <x v="0"/>
  </r>
  <r>
    <s v="Multifunction Laser Level With Adjustment Tripod"/>
    <n v="1680"/>
    <n v="2499"/>
    <n v="0.33"/>
    <n v="9"/>
    <n v="4.2"/>
    <n v="819"/>
    <x v="2"/>
    <x v="1"/>
    <x v="1"/>
  </r>
  <r>
    <s v="Exfoliate And Exfoliate Face Towel - Black"/>
    <n v="185"/>
    <n v="382"/>
    <n v="0.52"/>
    <n v="9"/>
    <n v="4.3"/>
    <n v="197"/>
    <x v="2"/>
    <x v="0"/>
    <x v="0"/>
  </r>
  <r>
    <s v="LED Eye Protection  Desk Lamp , Study, Reading, USB Fan - Double Pen Holder"/>
    <n v="1820"/>
    <n v="3490"/>
    <n v="0.48"/>
    <n v="9"/>
    <n v="4.3"/>
    <n v="1670"/>
    <x v="2"/>
    <x v="0"/>
    <x v="1"/>
  </r>
  <r>
    <s v="Weighing Scale Digital Bathroom Body Fat Scale USB-Black"/>
    <n v="1580"/>
    <n v="2499"/>
    <n v="0.37"/>
    <n v="7"/>
    <n v="4.7"/>
    <n v="919"/>
    <x v="1"/>
    <x v="1"/>
    <x v="2"/>
  </r>
  <r>
    <s v="LASA 3 Tier Bamboo Shoe Bench Storage Shelf"/>
    <n v="2048"/>
    <n v="4500"/>
    <n v="0.54"/>
    <n v="7"/>
    <n v="4.3"/>
    <n v="2452"/>
    <x v="2"/>
    <x v="0"/>
    <x v="1"/>
  </r>
  <r>
    <s v="380ML USB Rechargeable Portable Small Blenders And Juicers"/>
    <n v="1000"/>
    <n v="2000"/>
    <n v="0.5"/>
    <n v="7"/>
    <n v="2.2999999999999998"/>
    <n v="1000"/>
    <x v="0"/>
    <x v="0"/>
    <x v="2"/>
  </r>
  <r>
    <s v="Electric LED UV Mosquito Killer Lamp, Outdoor/Indoor Fly Killer Trap Light -USB"/>
    <n v="1570"/>
    <n v="2988"/>
    <n v="0.47"/>
    <n v="7"/>
    <n v="2.1"/>
    <n v="1418"/>
    <x v="0"/>
    <x v="0"/>
    <x v="2"/>
  </r>
  <r>
    <s v="LASA Digital Thermometer And Hydrometer"/>
    <n v="501"/>
    <n v="860"/>
    <n v="0.42"/>
    <n v="6"/>
    <n v="4.5"/>
    <n v="359"/>
    <x v="2"/>
    <x v="0"/>
    <x v="2"/>
  </r>
  <r>
    <s v="LED Romantic Spaceship Starry Sky Projector,Children's Bedroom Night Light-Blue"/>
    <n v="880"/>
    <n v="1350"/>
    <n v="0.35"/>
    <n v="6"/>
    <n v="4"/>
    <n v="470"/>
    <x v="3"/>
    <x v="1"/>
    <x v="2"/>
  </r>
  <r>
    <s v="5 Pieces/set Of Stainless Steel Induction Cooker Pots"/>
    <n v="2170"/>
    <n v="2500"/>
    <n v="0.13"/>
    <n v="6"/>
    <n v="2.5"/>
    <n v="330"/>
    <x v="0"/>
    <x v="2"/>
    <x v="1"/>
  </r>
  <r>
    <s v="Artificial Potted Flowers Room Decorative Flowers (2 Pieces)"/>
    <n v="990"/>
    <n v="1814"/>
    <n v="0.45"/>
    <n v="6"/>
    <n v="2.2000000000000002"/>
    <n v="824"/>
    <x v="0"/>
    <x v="0"/>
    <x v="2"/>
  </r>
  <r>
    <s v="Watercolour Gold Foil Textured Print Pillow Cover"/>
    <n v="345"/>
    <n v="602"/>
    <n v="0.43"/>
    <n v="6"/>
    <n v="2.2999999999999998"/>
    <n v="257"/>
    <x v="0"/>
    <x v="0"/>
    <x v="0"/>
  </r>
  <r>
    <s v="7-piece Set Of Storage Bags, Travel Storage Bags, Shoe Bags"/>
    <n v="968"/>
    <n v="1814"/>
    <n v="0.47"/>
    <n v="6"/>
    <n v="2.2000000000000002"/>
    <n v="846"/>
    <x v="0"/>
    <x v="0"/>
    <x v="2"/>
  </r>
  <r>
    <s v="Portable Home Small Air Humidifier 3-Speed Fan - Green"/>
    <n v="1740"/>
    <n v="2356"/>
    <n v="0.26"/>
    <n v="5"/>
    <n v="4.8"/>
    <n v="616"/>
    <x v="1"/>
    <x v="1"/>
    <x v="1"/>
  </r>
  <r>
    <s v="LASA FOLDING TABLE SERVING STAND"/>
    <n v="1274"/>
    <n v="2800"/>
    <n v="0.55000000000000004"/>
    <n v="5"/>
    <n v="4.8"/>
    <n v="1526"/>
    <x v="1"/>
    <x v="0"/>
    <x v="2"/>
  </r>
  <r>
    <s v="13 In 1 Home Repair Tools Box Kit Set"/>
    <n v="1600"/>
    <n v="2929"/>
    <n v="0.45"/>
    <n v="5"/>
    <n v="3.8"/>
    <n v="1329"/>
    <x v="3"/>
    <x v="0"/>
    <x v="2"/>
  </r>
  <r>
    <s v="LED Wall Digital Alarm Clock Study Home 12 / 24H Clock Calendar"/>
    <n v="2999"/>
    <n v="3699"/>
    <n v="0.19"/>
    <n v="5"/>
    <n v="4.5999999999999996"/>
    <n v="700"/>
    <x v="1"/>
    <x v="2"/>
    <x v="1"/>
  </r>
  <r>
    <s v="32PCS Portable Cordless Drill Set With Cyclic Battery Drive -26 Variable Speed"/>
    <n v="3750"/>
    <n v="6143"/>
    <n v="0.39"/>
    <n v="5"/>
    <n v="3"/>
    <n v="2393"/>
    <x v="3"/>
    <x v="1"/>
    <x v="1"/>
  </r>
  <r>
    <s v="Large Lazy Inflatable Sofa Chairs PVC Lounger Seat Bag"/>
    <n v="2300"/>
    <n v="3240"/>
    <n v="0.28999999999999998"/>
    <n v="5"/>
    <n v="3"/>
    <n v="940"/>
    <x v="3"/>
    <x v="1"/>
    <x v="1"/>
  </r>
  <r>
    <s v="Wrought Iron Bathroom Shelf Wall Mounted Free Punch Toilet Rack"/>
    <n v="509"/>
    <n v="899"/>
    <n v="0.43"/>
    <n v="5"/>
    <n v="3"/>
    <n v="390"/>
    <x v="3"/>
    <x v="0"/>
    <x v="2"/>
  </r>
  <r>
    <s v="LASA Aluminum Folding Truck Hand Cart - 68kg Max"/>
    <n v="2025"/>
    <n v="3971"/>
    <n v="0.49"/>
    <n v="3"/>
    <n v="5"/>
    <n v="1946"/>
    <x v="1"/>
    <x v="0"/>
    <x v="1"/>
  </r>
  <r>
    <s v="115  Piece Set Of Multifunctional Precision Screwdrivers"/>
    <n v="950"/>
    <n v="1525"/>
    <n v="0.38"/>
    <n v="2"/>
    <n v="4.5"/>
    <n v="575"/>
    <x v="2"/>
    <x v="1"/>
    <x v="2"/>
  </r>
  <r>
    <s v="Desk Foldable Fan Adjustable Fan Strong Wind 3 Gear Usb"/>
    <n v="988"/>
    <n v="1580"/>
    <n v="0.37"/>
    <n v="2"/>
    <n v="4"/>
    <n v="592"/>
    <x v="3"/>
    <x v="1"/>
    <x v="2"/>
  </r>
  <r>
    <s v="Anti-Skid Absorbent Insulation Coaster  For Home Office"/>
    <n v="332"/>
    <n v="684"/>
    <n v="0.51"/>
    <n v="2"/>
    <n v="5"/>
    <n v="352"/>
    <x v="1"/>
    <x v="0"/>
    <x v="0"/>
  </r>
  <r>
    <s v="Peacock  Throw Pillow Cushion Case For Home Car"/>
    <n v="195"/>
    <n v="360"/>
    <n v="0.46"/>
    <n v="2"/>
    <n v="5"/>
    <n v="165"/>
    <x v="1"/>
    <x v="0"/>
    <x v="0"/>
  </r>
  <r>
    <s v="Classic Black Cat Cotton Hemp Pillow Case For Home Car"/>
    <n v="171"/>
    <n v="360"/>
    <n v="0.53"/>
    <n v="2"/>
    <n v="5"/>
    <n v="189"/>
    <x v="1"/>
    <x v="0"/>
    <x v="0"/>
  </r>
  <r>
    <s v="1/2/3 Seater Elastic Sofa Cover,Living Room/Home Decor Chair Cover-Grey"/>
    <n v="1800"/>
    <n v="2700"/>
    <n v="0.38"/>
    <n v="2"/>
    <n v="4.5"/>
    <n v="900"/>
    <x v="2"/>
    <x v="1"/>
    <x v="1"/>
  </r>
  <r>
    <s v="DIY File Folder, Office Drawer File Holder, Pen Holder, Desktop Storage Rack"/>
    <n v="1620"/>
    <n v="2690"/>
    <n v="0.4"/>
    <n v="1"/>
    <n v="5"/>
    <n v="1070"/>
    <x v="1"/>
    <x v="1"/>
    <x v="2"/>
  </r>
  <r>
    <s v="Memory Foam Neck Pillow Cover, With Pillow Core - 50*30cm"/>
    <n v="1189"/>
    <n v="2199"/>
    <n v="0.46"/>
    <n v="1"/>
    <n v="3"/>
    <n v="1010"/>
    <x v="3"/>
    <x v="0"/>
    <x v="2"/>
  </r>
  <r>
    <s v="Bedroom Simple Floor Hanging Clothes Rack Single Pole Hat Rack - White"/>
    <n v="979"/>
    <n v="1920"/>
    <n v="0.49"/>
    <n v="1"/>
    <n v="5"/>
    <n v="941"/>
    <x v="1"/>
    <x v="0"/>
    <x v="2"/>
  </r>
  <r>
    <s v="Household Pineapple Peeler Peeler"/>
    <n v="330"/>
    <n v="647"/>
    <n v="0.49"/>
    <n v="1"/>
    <n v="4"/>
    <n v="317"/>
    <x v="3"/>
    <x v="0"/>
    <x v="0"/>
  </r>
  <r>
    <s v="Konka Healty Electric Kettle, 24-hour Heat Preservation,1.5L,800W, White"/>
    <n v="3640"/>
    <n v="4588"/>
    <n v="0.21"/>
    <n v="1"/>
    <n v="5"/>
    <n v="948"/>
    <x v="1"/>
    <x v="1"/>
    <x v="1"/>
  </r>
  <r>
    <s v="Wall-mounted Sticker Punch-free Plug Fixer"/>
    <n v="450"/>
    <n v="900"/>
    <n v="0.5"/>
    <n v="1"/>
    <n v="2"/>
    <n v="450"/>
    <x v="0"/>
    <x v="0"/>
    <x v="0"/>
  </r>
  <r>
    <s v="4pcs Bathroom/Kitchen Towel Rack,Roll Paper Holder,Towel Bars,Hook"/>
    <n v="1860"/>
    <n v="3220"/>
    <n v="0.42"/>
    <n v="0"/>
    <s v=""/>
    <n v="1360"/>
    <x v="4"/>
    <x v="0"/>
    <x v="1"/>
  </r>
  <r>
    <s v="MultiFunctional Storage Rack Multi-layer Bookshelf"/>
    <n v="2200"/>
    <n v="4080"/>
    <n v="0.46"/>
    <n v="0"/>
    <s v=""/>
    <n v="1880"/>
    <x v="4"/>
    <x v="0"/>
    <x v="1"/>
  </r>
  <r>
    <s v="LASA Stainless Steel Double Wall Mount Soap Dispenser - 500ml"/>
    <n v="2750"/>
    <n v="4471"/>
    <n v="0.38"/>
    <n v="0"/>
    <s v=""/>
    <n v="1721"/>
    <x v="4"/>
    <x v="1"/>
    <x v="1"/>
  </r>
  <r>
    <s v="4M Float Switch Water Level Controller -Water Tank"/>
    <n v="475"/>
    <n v="931"/>
    <n v="0.49"/>
    <n v="0"/>
    <s v=""/>
    <n v="456"/>
    <x v="4"/>
    <x v="0"/>
    <x v="0"/>
  </r>
  <r>
    <s v="Modern Sofa Throw Pillow Cover-45x45cm-Blue&amp;Red"/>
    <n v="238"/>
    <n v="476"/>
    <n v="0.5"/>
    <n v="0"/>
    <s v=""/>
    <n v="238"/>
    <x v="4"/>
    <x v="0"/>
    <x v="0"/>
  </r>
  <r>
    <s v="Balloon Insert, Birthday Party Balloon Set, PU Leather"/>
    <n v="610"/>
    <n v="1060"/>
    <n v="0.42"/>
    <n v="0"/>
    <s v=""/>
    <n v="450"/>
    <x v="4"/>
    <x v="0"/>
    <x v="2"/>
  </r>
  <r>
    <s v="Shower Cap Wide Elastic Band Cover Reusable Bashroom Cap"/>
    <n v="2132"/>
    <n v="2169"/>
    <n v="0.02"/>
    <n v="0"/>
    <s v=""/>
    <n v="37"/>
    <x v="4"/>
    <x v="2"/>
    <x v="1"/>
  </r>
  <r>
    <s v="Christmas Elk Fence Yard Lawn Decorations Cute For Holidays"/>
    <n v="999"/>
    <n v="2000"/>
    <n v="0.5"/>
    <n v="0"/>
    <s v=""/>
    <n v="1001"/>
    <x v="4"/>
    <x v="0"/>
    <x v="2"/>
  </r>
  <r>
    <s v="60W Hot Melt Glue Sprayer - Efficient And Stable Glue Dispensing"/>
    <n v="1190"/>
    <n v="1785"/>
    <n v="0.33"/>
    <n v="0"/>
    <s v=""/>
    <n v="595"/>
    <x v="4"/>
    <x v="1"/>
    <x v="2"/>
  </r>
  <r>
    <s v="Car Phone Charging Stand"/>
    <n v="671"/>
    <n v="1316"/>
    <n v="0.49"/>
    <n v="0"/>
    <s v=""/>
    <n v="645"/>
    <x v="4"/>
    <x v="0"/>
    <x v="2"/>
  </r>
  <r>
    <s v="2pcs Solar Street Light Flood Light Outdoor"/>
    <n v="1200"/>
    <n v="1950"/>
    <n v="0.38"/>
    <n v="0"/>
    <s v=""/>
    <n v="750"/>
    <x v="4"/>
    <x v="1"/>
    <x v="2"/>
  </r>
  <r>
    <s v="Creative Owl Shape Keychain Black"/>
    <n v="199"/>
    <n v="504"/>
    <n v="0.61"/>
    <n v="0"/>
    <s v=""/>
    <n v="305"/>
    <x v="4"/>
    <x v="0"/>
    <x v="0"/>
  </r>
  <r>
    <s v="Brush &amp; Paintbrush Cleaning Tool Pink"/>
    <n v="299"/>
    <n v="600"/>
    <n v="0.5"/>
    <n v="0"/>
    <s v=""/>
    <n v="301"/>
    <x v="4"/>
    <x v="0"/>
    <x v="0"/>
  </r>
  <r>
    <s v="Pen Grips For Kids Pen Grip Posture Correction Tool For Kids"/>
    <n v="1660"/>
    <n v="1699"/>
    <n v="0.02"/>
    <n v="0"/>
    <s v=""/>
    <n v="39"/>
    <x v="4"/>
    <x v="2"/>
    <x v="2"/>
  </r>
  <r>
    <s v="Pilates Cloth Bag Waterproof Durable High Capacity Purple"/>
    <n v="299"/>
    <n v="384"/>
    <n v="0.22"/>
    <n v="0"/>
    <s v=""/>
    <n v="85"/>
    <x v="4"/>
    <x v="1"/>
    <x v="0"/>
  </r>
  <r>
    <s v="Multi-purpose Rice Drainage Basket And Fruit And Vegetable Drainage Sieve"/>
    <n v="1459"/>
    <n v="1499"/>
    <n v="0.03"/>
    <n v="0"/>
    <s v=""/>
    <n v="40"/>
    <x v="4"/>
    <x v="2"/>
    <x v="2"/>
  </r>
  <r>
    <s v="Cute Christmas Fence Garden Decorations For Holiday Home"/>
    <n v="799"/>
    <n v="1343"/>
    <n v="0.41"/>
    <n v="0"/>
    <s v=""/>
    <n v="544"/>
    <x v="4"/>
    <x v="0"/>
    <x v="2"/>
  </r>
  <r>
    <s v="Simple Metal Dog Art Sculpture Decoration For Home Office"/>
    <n v="499"/>
    <n v="900"/>
    <n v="0.45"/>
    <n v="0"/>
    <s v=""/>
    <n v="401"/>
    <x v="4"/>
    <x v="0"/>
    <x v="2"/>
  </r>
  <r>
    <s v="Christmas Fence Garden Decorations Outdoor For Holiday Home"/>
    <n v="699"/>
    <n v="1343"/>
    <n v="0.48"/>
    <n v="0"/>
    <s v=""/>
    <n v="644"/>
    <x v="4"/>
    <x v="0"/>
    <x v="2"/>
  </r>
  <r>
    <s v="Angle Measuring Tool Full Metal Multi Angle Measuring Tool"/>
    <n v="799"/>
    <n v="1567"/>
    <n v="0.49"/>
    <n v="0"/>
    <s v=""/>
    <n v="768"/>
    <x v="4"/>
    <x v="0"/>
    <x v="2"/>
  </r>
  <r>
    <s v="12V 19500rpm Handheld Electric Angle Grinder Tool - UK - Yellow/Black"/>
    <n v="2799"/>
    <n v="3810"/>
    <n v="0.27"/>
    <n v="0"/>
    <s v=""/>
    <n v="1011"/>
    <x v="4"/>
    <x v="1"/>
    <x v="1"/>
  </r>
  <r>
    <s v="Simple Metal Dog Art Sculpture Decoration For Home Office"/>
    <n v="399"/>
    <n v="896"/>
    <n v="0.55000000000000004"/>
    <n v="0"/>
    <s v=""/>
    <n v="497"/>
    <x v="4"/>
    <x v="0"/>
    <x v="0"/>
  </r>
  <r>
    <s v="2PCS/LOT Solar LED Outdoor Intelligent Light Controlled Wall Lamp"/>
    <n v="790"/>
    <n v="1485"/>
    <n v="0.47"/>
    <n v="0"/>
    <s v=""/>
    <n v="695"/>
    <x v="4"/>
    <x v="0"/>
    <x v="2"/>
  </r>
  <r>
    <s v="3PCS Rotary Scraper Thermomix For Kitchen"/>
    <n v="690"/>
    <n v="1200"/>
    <n v="0.43"/>
    <n v="0"/>
    <s v=""/>
    <n v="510"/>
    <x v="4"/>
    <x v="0"/>
    <x v="2"/>
  </r>
  <r>
    <s v="Cushion Silicone Butt Cushion Summer Ice Cushion Honeycomb Gel Cushion"/>
    <n v="1732"/>
    <n v="1799"/>
    <n v="0.04"/>
    <n v="0"/>
    <s v=""/>
    <n v="67"/>
    <x v="4"/>
    <x v="2"/>
    <x v="1"/>
  </r>
  <r>
    <s v="7PCS Silicone Thumb Knife Finger Protector Vegetable Harvesting Knife"/>
    <n v="230"/>
    <n v="450"/>
    <n v="0.49"/>
    <n v="0"/>
    <s v=""/>
    <n v="220"/>
    <x v="4"/>
    <x v="0"/>
    <x v="0"/>
  </r>
  <r>
    <s v="5m Waterproof Spherical LED String Lights Outdoor Ball Chain Lights Party Lighting Decoration Adjustable"/>
    <n v="1460"/>
    <n v="2290"/>
    <n v="0.36"/>
    <n v="0"/>
    <s v=""/>
    <n v="830"/>
    <x v="4"/>
    <x v="1"/>
    <x v="2"/>
  </r>
  <r>
    <s v="2 Pairs Cowhide Split Leather Work Gloves.32â„‰ Or Above Welding Gloves"/>
    <n v="1666"/>
    <n v="1699"/>
    <n v="0.02"/>
    <n v="0"/>
    <s v=""/>
    <n v="33"/>
    <x v="4"/>
    <x v="2"/>
    <x v="2"/>
  </r>
  <r>
    <s v="Creative Owl Shape Keychain Black"/>
    <n v="176"/>
    <n v="345"/>
    <n v="0.49"/>
    <n v="0"/>
    <s v=""/>
    <n v="169"/>
    <x v="4"/>
    <x v="0"/>
    <x v="0"/>
  </r>
  <r>
    <s v="Office Chair Lumbar Back Support Spine Posture Correction Pillow Car Cushion"/>
    <n v="1466"/>
    <n v="1699"/>
    <n v="0.14000000000000001"/>
    <n v="0"/>
    <s v=""/>
    <n v="233"/>
    <x v="4"/>
    <x v="2"/>
    <x v="2"/>
  </r>
  <r>
    <s v="Cartoon Car Decoration Cute Individuality For Car Home Desk"/>
    <n v="274"/>
    <n v="537"/>
    <n v="0.49"/>
    <n v="0"/>
    <s v=""/>
    <n v="263"/>
    <x v="4"/>
    <x v="0"/>
    <x v="0"/>
  </r>
  <r>
    <s v="Outdoor Portable Water Bottle With Medicine Box - 600ML - Black"/>
    <n v="799"/>
    <n v="900"/>
    <n v="0.11"/>
    <n v="0"/>
    <s v=""/>
    <n v="101"/>
    <x v="4"/>
    <x v="2"/>
    <x v="2"/>
  </r>
  <r>
    <s v="Angle Measuring Tool Full Metal Multi Angle Measuring Tool"/>
    <n v="657"/>
    <n v="1288"/>
    <n v="0.49"/>
    <n v="0"/>
    <s v=""/>
    <n v="631"/>
    <x v="4"/>
    <x v="0"/>
    <x v="2"/>
  </r>
  <r>
    <s v="Wall-Mounted Toothbrush Toothpaste Holder With Multiple Slots"/>
    <n v="1468"/>
    <n v="1699"/>
    <n v="0.14000000000000001"/>
    <n v="0"/>
    <s v=""/>
    <n v="231"/>
    <x v="4"/>
    <x v="2"/>
    <x v="2"/>
  </r>
  <r>
    <s v="Multifunctional Hanging Storage Box Storage Bag (4 Layers)"/>
    <n v="630"/>
    <n v="1100"/>
    <n v="0.43"/>
    <n v="0"/>
    <s v=""/>
    <n v="470"/>
    <x v="4"/>
    <x v="0"/>
    <x v="2"/>
  </r>
  <r>
    <s v="Wall Clock With Hidden Safe Box"/>
    <n v="850"/>
    <n v="1700"/>
    <n v="0.5"/>
    <n v="0"/>
    <s v=""/>
    <n v="850"/>
    <x v="4"/>
    <x v="0"/>
    <x v="2"/>
  </r>
  <r>
    <s v="Portable Wine Table With Folding Round Table"/>
    <n v="1300"/>
    <n v="2500"/>
    <n v="0.48"/>
    <n v="0"/>
    <s v=""/>
    <n v="1200"/>
    <x v="4"/>
    <x v="0"/>
    <x v="2"/>
  </r>
  <r>
    <s v="Sewing Machine Needle Threader Stitch Insertion Tool Automatic Quick Sewing"/>
    <n v="105"/>
    <n v="200"/>
    <n v="0.48"/>
    <n v="0"/>
    <s v=""/>
    <n v="95"/>
    <x v="4"/>
    <x v="0"/>
    <x v="0"/>
  </r>
  <r>
    <s v="6 Layers Steel Pipe Assembling Dustproof Storage Shoe Cabinet"/>
    <n v="899"/>
    <n v="1699"/>
    <n v="0.47"/>
    <n v="0"/>
    <s v=""/>
    <n v="800"/>
    <x v="4"/>
    <x v="0"/>
    <x v="2"/>
  </r>
  <r>
    <s v="2PCS Ice Silk Square Cushion Cover Pillowcases - 65x65cm"/>
    <n v="1200"/>
    <n v="2400"/>
    <n v="0.5"/>
    <n v="0"/>
    <s v=""/>
    <n v="1200"/>
    <x v="4"/>
    <x v="0"/>
    <x v="2"/>
  </r>
  <r>
    <s v="Wall Mount Automatic Toothpaste Dispenser Toothbrush Holder Toothpaste Squeezer"/>
    <n v="1526"/>
    <n v="1660"/>
    <n v="0.08"/>
    <n v="0"/>
    <s v=""/>
    <n v="134"/>
    <x v="4"/>
    <x v="2"/>
    <x v="2"/>
  </r>
  <r>
    <s v="Portable Soap Dispenser Kitchen Detergent Press Box Kitchen Tools"/>
    <n v="1462"/>
    <n v="1499"/>
    <n v="0.02"/>
    <n v="0"/>
    <s v=""/>
    <n v="37"/>
    <x v="4"/>
    <x v="2"/>
    <x v="2"/>
  </r>
  <r>
    <s v="4 Piece Coloured Stainless Steel Kitchenware Set"/>
    <n v="248"/>
    <n v="486"/>
    <n v="0.49"/>
    <n v="0"/>
    <s v=""/>
    <n v="238"/>
    <x v="4"/>
    <x v="0"/>
    <x v="0"/>
  </r>
  <r>
    <s v="Metal Wall Clock Silver Dial Crystal Jewelry Round Home Decoration Wall Clock"/>
    <n v="3546"/>
    <n v="3699"/>
    <n v="0.04"/>
    <n v="0"/>
    <s v=""/>
    <n v="153"/>
    <x v="4"/>
    <x v="2"/>
    <x v="1"/>
  </r>
  <r>
    <s v="Baby Early Education Shape And Color Cognitive Training Toys"/>
    <n v="525"/>
    <n v="1029"/>
    <n v="0.49"/>
    <n v="0"/>
    <s v=""/>
    <n v="504"/>
    <x v="4"/>
    <x v="0"/>
    <x v="2"/>
  </r>
  <r>
    <s v="8in1 Screwdriver With LED Light"/>
    <n v="1080"/>
    <n v="1874"/>
    <n v="0.42"/>
    <n v="0"/>
    <s v=""/>
    <n v="794"/>
    <x v="4"/>
    <x v="0"/>
    <x v="2"/>
  </r>
  <r>
    <s v="9pcs Gas Mask, For Painting, Dust, Formaldehyde Grinding, Polishing"/>
    <n v="1420"/>
    <n v="2420"/>
    <n v="0.41"/>
    <n v="0"/>
    <s v=""/>
    <n v="1000"/>
    <x v="4"/>
    <x v="0"/>
    <x v="2"/>
  </r>
  <r>
    <s v="24 Grid Wall-mounted Sundries Organiser Fabric Closet Bag Storage Rack"/>
    <n v="1875"/>
    <n v="1899"/>
    <n v="0.01"/>
    <n v="0"/>
    <s v=""/>
    <n v="24"/>
    <x v="4"/>
    <x v="2"/>
    <x v="1"/>
  </r>
  <r>
    <s v="1PC Refrigerator Food Seal Pocket Fridge Bags"/>
    <n v="198"/>
    <n v="260"/>
    <n v="0.24"/>
    <n v="0"/>
    <s v=""/>
    <n v="62"/>
    <x v="4"/>
    <x v="1"/>
    <x v="0"/>
  </r>
  <r>
    <s v="LED Solar Street Light-fake Camera"/>
    <n v="1150"/>
    <n v="1737"/>
    <n v="0.34"/>
    <n v="0"/>
    <s v=""/>
    <n v="587"/>
    <x v="4"/>
    <x v="1"/>
    <x v="2"/>
  </r>
  <r>
    <s v="Cartoon Embroidered Mini Towel Bear Cotton Wash Cloth Hand 4pcs"/>
    <n v="1190"/>
    <n v="1810"/>
    <n v="0.34"/>
    <n v="0"/>
    <s v=""/>
    <n v="620"/>
    <x v="4"/>
    <x v="1"/>
    <x v="2"/>
  </r>
  <r>
    <s v="Shower Nozzle Cleaning Unclogging Needle Mini Crevice Small Hole Cleaning Brush"/>
    <n v="1658"/>
    <n v="1699"/>
    <n v="0.02"/>
    <n v="0"/>
    <s v=""/>
    <n v="41"/>
    <x v="4"/>
    <x v="2"/>
    <x v="2"/>
  </r>
  <r>
    <s v="Thickening Multipurpose Non Stick Easy To Clean Heat Resistant Spoon Pad"/>
    <n v="1768"/>
    <n v="1799"/>
    <n v="0.02"/>
    <n v="0"/>
    <s v=""/>
    <n v="31"/>
    <x v="4"/>
    <x v="2"/>
    <x v="1"/>
  </r>
  <r>
    <s v="6 In 1 Bottle Can Opener Multifunctional Easy Opener"/>
    <n v="199"/>
    <n v="553"/>
    <n v="0.64"/>
    <n v="0"/>
    <s v=""/>
    <n v="354"/>
    <x v="4"/>
    <x v="0"/>
    <x v="0"/>
  </r>
  <r>
    <s v="Black Simple Water Cup Wine Coaster Anti Slip Absorbent"/>
    <n v="169"/>
    <n v="320"/>
    <n v="0.47"/>
    <n v="0"/>
    <s v=""/>
    <n v="151"/>
    <x v="4"/>
    <x v="0"/>
    <x v="0"/>
  </r>
</pivotCacheRecords>
</file>

<file path=xl/pivotCache/pivotCacheRecords2.xml><?xml version="1.0" encoding="utf-8"?>
<pivotCacheRecords xmlns="http://schemas.openxmlformats.org/spreadsheetml/2006/main" xmlns:r="http://schemas.openxmlformats.org/officeDocument/2006/relationships" count="112">
  <r>
    <x v="0"/>
    <n v="445"/>
    <n v="873"/>
    <x v="0"/>
    <x v="0"/>
    <n v="2.8"/>
    <n v="428"/>
    <x v="0"/>
    <x v="0"/>
    <x v="0"/>
    <x v="0"/>
  </r>
  <r>
    <x v="1"/>
    <n v="2319"/>
    <n v="3032"/>
    <x v="1"/>
    <x v="1"/>
    <n v="4.5999999999999996"/>
    <n v="713"/>
    <x v="1"/>
    <x v="1"/>
    <x v="1"/>
    <x v="1"/>
  </r>
  <r>
    <x v="2"/>
    <n v="420"/>
    <n v="647"/>
    <x v="2"/>
    <x v="2"/>
    <n v="4.5999999999999996"/>
    <n v="227"/>
    <x v="1"/>
    <x v="1"/>
    <x v="0"/>
    <x v="2"/>
  </r>
  <r>
    <x v="3"/>
    <n v="998"/>
    <n v="1966"/>
    <x v="0"/>
    <x v="3"/>
    <n v="4.5999999999999996"/>
    <n v="968"/>
    <x v="1"/>
    <x v="0"/>
    <x v="2"/>
    <x v="3"/>
  </r>
  <r>
    <x v="4"/>
    <n v="990"/>
    <n v="1500"/>
    <x v="3"/>
    <x v="4"/>
    <n v="4.7"/>
    <n v="510"/>
    <x v="1"/>
    <x v="1"/>
    <x v="2"/>
    <x v="4"/>
  </r>
  <r>
    <x v="5"/>
    <n v="389"/>
    <n v="656"/>
    <x v="4"/>
    <x v="5"/>
    <n v="4.3"/>
    <n v="267"/>
    <x v="2"/>
    <x v="0"/>
    <x v="0"/>
    <x v="5"/>
  </r>
  <r>
    <x v="6"/>
    <n v="1980"/>
    <n v="2699"/>
    <x v="5"/>
    <x v="6"/>
    <n v="4.5"/>
    <n v="719"/>
    <x v="2"/>
    <x v="1"/>
    <x v="1"/>
    <x v="6"/>
  </r>
  <r>
    <x v="7"/>
    <n v="2199"/>
    <n v="2923"/>
    <x v="6"/>
    <x v="7"/>
    <n v="4.5999999999999996"/>
    <n v="724"/>
    <x v="1"/>
    <x v="1"/>
    <x v="1"/>
    <x v="7"/>
  </r>
  <r>
    <x v="8"/>
    <n v="1758"/>
    <n v="2499"/>
    <x v="7"/>
    <x v="8"/>
    <n v="4.0999999999999996"/>
    <n v="741"/>
    <x v="2"/>
    <x v="1"/>
    <x v="1"/>
    <x v="8"/>
  </r>
  <r>
    <x v="9"/>
    <n v="1940"/>
    <n v="2650"/>
    <x v="5"/>
    <x v="8"/>
    <n v="4.7"/>
    <n v="710"/>
    <x v="1"/>
    <x v="1"/>
    <x v="1"/>
    <x v="9"/>
  </r>
  <r>
    <x v="10"/>
    <n v="382"/>
    <n v="700"/>
    <x v="8"/>
    <x v="9"/>
    <n v="2.6"/>
    <n v="318"/>
    <x v="0"/>
    <x v="0"/>
    <x v="0"/>
    <x v="10"/>
  </r>
  <r>
    <x v="11"/>
    <n v="1220"/>
    <n v="1555"/>
    <x v="9"/>
    <x v="10"/>
    <n v="2.9"/>
    <n v="335"/>
    <x v="0"/>
    <x v="1"/>
    <x v="2"/>
    <x v="11"/>
  </r>
  <r>
    <x v="12"/>
    <n v="2999"/>
    <n v="3290"/>
    <x v="10"/>
    <x v="11"/>
    <n v="4"/>
    <n v="291"/>
    <x v="3"/>
    <x v="2"/>
    <x v="1"/>
    <x v="12"/>
  </r>
  <r>
    <x v="13"/>
    <n v="325"/>
    <n v="680"/>
    <x v="11"/>
    <x v="11"/>
    <n v="2.7"/>
    <n v="355"/>
    <x v="0"/>
    <x v="0"/>
    <x v="0"/>
    <x v="13"/>
  </r>
  <r>
    <x v="14"/>
    <n v="527"/>
    <n v="999"/>
    <x v="12"/>
    <x v="12"/>
    <n v="4.0999999999999996"/>
    <n v="472"/>
    <x v="2"/>
    <x v="0"/>
    <x v="2"/>
    <x v="14"/>
  </r>
  <r>
    <x v="15"/>
    <n v="1650"/>
    <n v="2150"/>
    <x v="13"/>
    <x v="12"/>
    <n v="4.4000000000000004"/>
    <n v="500"/>
    <x v="2"/>
    <x v="1"/>
    <x v="2"/>
    <x v="15"/>
  </r>
  <r>
    <x v="16"/>
    <n v="38"/>
    <n v="80"/>
    <x v="14"/>
    <x v="13"/>
    <n v="3.3"/>
    <n v="42"/>
    <x v="3"/>
    <x v="0"/>
    <x v="0"/>
    <x v="16"/>
  </r>
  <r>
    <x v="17"/>
    <n v="1350"/>
    <n v="1990"/>
    <x v="15"/>
    <x v="13"/>
    <n v="3.8"/>
    <n v="640"/>
    <x v="3"/>
    <x v="1"/>
    <x v="2"/>
    <x v="17"/>
  </r>
  <r>
    <x v="18"/>
    <n v="2115"/>
    <n v="4700"/>
    <x v="16"/>
    <x v="13"/>
    <n v="2.1"/>
    <n v="2585"/>
    <x v="0"/>
    <x v="0"/>
    <x v="1"/>
    <x v="18"/>
  </r>
  <r>
    <x v="19"/>
    <n v="799"/>
    <n v="999"/>
    <x v="17"/>
    <x v="14"/>
    <n v="4.0999999999999996"/>
    <n v="200"/>
    <x v="2"/>
    <x v="1"/>
    <x v="2"/>
    <x v="19"/>
  </r>
  <r>
    <x v="20"/>
    <n v="552"/>
    <n v="1035"/>
    <x v="12"/>
    <x v="14"/>
    <n v="4.8"/>
    <n v="483"/>
    <x v="1"/>
    <x v="0"/>
    <x v="2"/>
    <x v="20"/>
  </r>
  <r>
    <x v="21"/>
    <n v="2880"/>
    <n v="3520"/>
    <x v="18"/>
    <x v="14"/>
    <n v="3.8"/>
    <n v="640"/>
    <x v="3"/>
    <x v="2"/>
    <x v="1"/>
    <x v="21"/>
  </r>
  <r>
    <x v="22"/>
    <n v="980"/>
    <n v="1490"/>
    <x v="3"/>
    <x v="14"/>
    <n v="4.7"/>
    <n v="510"/>
    <x v="1"/>
    <x v="1"/>
    <x v="2"/>
    <x v="22"/>
  </r>
  <r>
    <x v="23"/>
    <n v="458"/>
    <n v="986"/>
    <x v="19"/>
    <x v="15"/>
    <n v="3"/>
    <n v="528"/>
    <x v="3"/>
    <x v="0"/>
    <x v="0"/>
    <x v="23"/>
  </r>
  <r>
    <x v="24"/>
    <n v="1680"/>
    <n v="2499"/>
    <x v="20"/>
    <x v="16"/>
    <n v="4.2"/>
    <n v="819"/>
    <x v="2"/>
    <x v="1"/>
    <x v="1"/>
    <x v="24"/>
  </r>
  <r>
    <x v="25"/>
    <n v="185"/>
    <n v="382"/>
    <x v="11"/>
    <x v="16"/>
    <n v="4.3"/>
    <n v="197"/>
    <x v="2"/>
    <x v="0"/>
    <x v="0"/>
    <x v="25"/>
  </r>
  <r>
    <x v="26"/>
    <n v="1820"/>
    <n v="3490"/>
    <x v="21"/>
    <x v="16"/>
    <n v="4.3"/>
    <n v="1670"/>
    <x v="2"/>
    <x v="0"/>
    <x v="1"/>
    <x v="26"/>
  </r>
  <r>
    <x v="27"/>
    <n v="1580"/>
    <n v="2499"/>
    <x v="22"/>
    <x v="17"/>
    <n v="4.7"/>
    <n v="919"/>
    <x v="1"/>
    <x v="1"/>
    <x v="2"/>
    <x v="27"/>
  </r>
  <r>
    <x v="28"/>
    <n v="2048"/>
    <n v="4500"/>
    <x v="19"/>
    <x v="17"/>
    <n v="4.3"/>
    <n v="2452"/>
    <x v="2"/>
    <x v="0"/>
    <x v="1"/>
    <x v="28"/>
  </r>
  <r>
    <x v="29"/>
    <n v="1000"/>
    <n v="2000"/>
    <x v="23"/>
    <x v="17"/>
    <n v="2.2999999999999998"/>
    <n v="1000"/>
    <x v="0"/>
    <x v="0"/>
    <x v="2"/>
    <x v="29"/>
  </r>
  <r>
    <x v="30"/>
    <n v="1570"/>
    <n v="2988"/>
    <x v="12"/>
    <x v="17"/>
    <n v="2.1"/>
    <n v="1418"/>
    <x v="0"/>
    <x v="0"/>
    <x v="2"/>
    <x v="30"/>
  </r>
  <r>
    <x v="31"/>
    <n v="501"/>
    <n v="860"/>
    <x v="24"/>
    <x v="18"/>
    <n v="4.5"/>
    <n v="359"/>
    <x v="2"/>
    <x v="0"/>
    <x v="2"/>
    <x v="31"/>
  </r>
  <r>
    <x v="32"/>
    <n v="880"/>
    <n v="1350"/>
    <x v="2"/>
    <x v="18"/>
    <n v="4"/>
    <n v="470"/>
    <x v="3"/>
    <x v="1"/>
    <x v="2"/>
    <x v="32"/>
  </r>
  <r>
    <x v="33"/>
    <n v="2170"/>
    <n v="2500"/>
    <x v="25"/>
    <x v="18"/>
    <n v="2.5"/>
    <n v="330"/>
    <x v="0"/>
    <x v="2"/>
    <x v="1"/>
    <x v="33"/>
  </r>
  <r>
    <x v="34"/>
    <n v="990"/>
    <n v="1814"/>
    <x v="8"/>
    <x v="18"/>
    <n v="2.2000000000000002"/>
    <n v="824"/>
    <x v="0"/>
    <x v="0"/>
    <x v="2"/>
    <x v="34"/>
  </r>
  <r>
    <x v="35"/>
    <n v="345"/>
    <n v="602"/>
    <x v="26"/>
    <x v="18"/>
    <n v="2.2999999999999998"/>
    <n v="257"/>
    <x v="0"/>
    <x v="0"/>
    <x v="0"/>
    <x v="35"/>
  </r>
  <r>
    <x v="36"/>
    <n v="968"/>
    <n v="1814"/>
    <x v="12"/>
    <x v="18"/>
    <n v="2.2000000000000002"/>
    <n v="846"/>
    <x v="0"/>
    <x v="0"/>
    <x v="2"/>
    <x v="36"/>
  </r>
  <r>
    <x v="37"/>
    <n v="1740"/>
    <n v="2356"/>
    <x v="27"/>
    <x v="19"/>
    <n v="4.8"/>
    <n v="616"/>
    <x v="1"/>
    <x v="1"/>
    <x v="1"/>
    <x v="37"/>
  </r>
  <r>
    <x v="38"/>
    <n v="1274"/>
    <n v="2800"/>
    <x v="16"/>
    <x v="19"/>
    <n v="4.8"/>
    <n v="1526"/>
    <x v="1"/>
    <x v="0"/>
    <x v="2"/>
    <x v="38"/>
  </r>
  <r>
    <x v="39"/>
    <n v="1600"/>
    <n v="2929"/>
    <x v="8"/>
    <x v="19"/>
    <n v="3.8"/>
    <n v="1329"/>
    <x v="3"/>
    <x v="0"/>
    <x v="2"/>
    <x v="39"/>
  </r>
  <r>
    <x v="40"/>
    <n v="2999"/>
    <n v="3699"/>
    <x v="28"/>
    <x v="19"/>
    <n v="4.5999999999999996"/>
    <n v="700"/>
    <x v="1"/>
    <x v="2"/>
    <x v="1"/>
    <x v="40"/>
  </r>
  <r>
    <x v="41"/>
    <n v="3750"/>
    <n v="6143"/>
    <x v="29"/>
    <x v="19"/>
    <n v="3"/>
    <n v="2393"/>
    <x v="3"/>
    <x v="1"/>
    <x v="1"/>
    <x v="41"/>
  </r>
  <r>
    <x v="42"/>
    <n v="2300"/>
    <n v="3240"/>
    <x v="30"/>
    <x v="19"/>
    <n v="3"/>
    <n v="940"/>
    <x v="3"/>
    <x v="1"/>
    <x v="1"/>
    <x v="42"/>
  </r>
  <r>
    <x v="43"/>
    <n v="509"/>
    <n v="899"/>
    <x v="26"/>
    <x v="19"/>
    <n v="3"/>
    <n v="390"/>
    <x v="3"/>
    <x v="0"/>
    <x v="2"/>
    <x v="43"/>
  </r>
  <r>
    <x v="44"/>
    <n v="2025"/>
    <n v="3971"/>
    <x v="0"/>
    <x v="20"/>
    <n v="5"/>
    <n v="1946"/>
    <x v="1"/>
    <x v="0"/>
    <x v="1"/>
    <x v="44"/>
  </r>
  <r>
    <x v="45"/>
    <n v="950"/>
    <n v="1525"/>
    <x v="31"/>
    <x v="21"/>
    <n v="4.5"/>
    <n v="575"/>
    <x v="2"/>
    <x v="1"/>
    <x v="2"/>
    <x v="45"/>
  </r>
  <r>
    <x v="46"/>
    <n v="988"/>
    <n v="1580"/>
    <x v="22"/>
    <x v="21"/>
    <n v="4"/>
    <n v="592"/>
    <x v="3"/>
    <x v="1"/>
    <x v="2"/>
    <x v="46"/>
  </r>
  <r>
    <x v="47"/>
    <n v="332"/>
    <n v="684"/>
    <x v="32"/>
    <x v="21"/>
    <n v="5"/>
    <n v="352"/>
    <x v="1"/>
    <x v="0"/>
    <x v="0"/>
    <x v="47"/>
  </r>
  <r>
    <x v="48"/>
    <n v="195"/>
    <n v="360"/>
    <x v="33"/>
    <x v="21"/>
    <n v="5"/>
    <n v="165"/>
    <x v="1"/>
    <x v="0"/>
    <x v="0"/>
    <x v="48"/>
  </r>
  <r>
    <x v="49"/>
    <n v="171"/>
    <n v="360"/>
    <x v="14"/>
    <x v="21"/>
    <n v="5"/>
    <n v="189"/>
    <x v="1"/>
    <x v="0"/>
    <x v="0"/>
    <x v="49"/>
  </r>
  <r>
    <x v="50"/>
    <n v="1800"/>
    <n v="2700"/>
    <x v="31"/>
    <x v="21"/>
    <n v="4.5"/>
    <n v="900"/>
    <x v="2"/>
    <x v="1"/>
    <x v="1"/>
    <x v="50"/>
  </r>
  <r>
    <x v="51"/>
    <n v="1620"/>
    <n v="2690"/>
    <x v="34"/>
    <x v="22"/>
    <n v="5"/>
    <n v="1070"/>
    <x v="1"/>
    <x v="1"/>
    <x v="2"/>
    <x v="51"/>
  </r>
  <r>
    <x v="52"/>
    <n v="1189"/>
    <n v="2199"/>
    <x v="33"/>
    <x v="22"/>
    <n v="3"/>
    <n v="1010"/>
    <x v="3"/>
    <x v="0"/>
    <x v="2"/>
    <x v="52"/>
  </r>
  <r>
    <x v="53"/>
    <n v="979"/>
    <n v="1920"/>
    <x v="0"/>
    <x v="22"/>
    <n v="5"/>
    <n v="941"/>
    <x v="1"/>
    <x v="0"/>
    <x v="2"/>
    <x v="53"/>
  </r>
  <r>
    <x v="54"/>
    <n v="330"/>
    <n v="647"/>
    <x v="0"/>
    <x v="22"/>
    <n v="4"/>
    <n v="317"/>
    <x v="3"/>
    <x v="0"/>
    <x v="0"/>
    <x v="54"/>
  </r>
  <r>
    <x v="55"/>
    <n v="3640"/>
    <n v="4588"/>
    <x v="35"/>
    <x v="22"/>
    <n v="5"/>
    <n v="948"/>
    <x v="1"/>
    <x v="1"/>
    <x v="1"/>
    <x v="55"/>
  </r>
  <r>
    <x v="56"/>
    <n v="450"/>
    <n v="900"/>
    <x v="23"/>
    <x v="22"/>
    <n v="2"/>
    <n v="450"/>
    <x v="0"/>
    <x v="0"/>
    <x v="0"/>
    <x v="56"/>
  </r>
  <r>
    <x v="57"/>
    <n v="1860"/>
    <n v="3220"/>
    <x v="24"/>
    <x v="23"/>
    <s v=""/>
    <n v="1360"/>
    <x v="4"/>
    <x v="0"/>
    <x v="1"/>
    <x v="57"/>
  </r>
  <r>
    <x v="58"/>
    <n v="2200"/>
    <n v="4080"/>
    <x v="33"/>
    <x v="23"/>
    <s v=""/>
    <n v="1880"/>
    <x v="4"/>
    <x v="0"/>
    <x v="1"/>
    <x v="58"/>
  </r>
  <r>
    <x v="59"/>
    <n v="2750"/>
    <n v="4471"/>
    <x v="31"/>
    <x v="23"/>
    <s v=""/>
    <n v="1721"/>
    <x v="4"/>
    <x v="1"/>
    <x v="1"/>
    <x v="59"/>
  </r>
  <r>
    <x v="60"/>
    <n v="475"/>
    <n v="931"/>
    <x v="0"/>
    <x v="23"/>
    <s v=""/>
    <n v="456"/>
    <x v="4"/>
    <x v="0"/>
    <x v="0"/>
    <x v="60"/>
  </r>
  <r>
    <x v="61"/>
    <n v="238"/>
    <n v="476"/>
    <x v="23"/>
    <x v="23"/>
    <s v=""/>
    <n v="238"/>
    <x v="4"/>
    <x v="0"/>
    <x v="0"/>
    <x v="61"/>
  </r>
  <r>
    <x v="62"/>
    <n v="610"/>
    <n v="1060"/>
    <x v="24"/>
    <x v="23"/>
    <s v=""/>
    <n v="450"/>
    <x v="4"/>
    <x v="0"/>
    <x v="2"/>
    <x v="62"/>
  </r>
  <r>
    <x v="63"/>
    <n v="2132"/>
    <n v="2169"/>
    <x v="36"/>
    <x v="23"/>
    <s v=""/>
    <n v="37"/>
    <x v="4"/>
    <x v="2"/>
    <x v="1"/>
    <x v="63"/>
  </r>
  <r>
    <x v="64"/>
    <n v="999"/>
    <n v="2000"/>
    <x v="23"/>
    <x v="23"/>
    <s v=""/>
    <n v="1001"/>
    <x v="4"/>
    <x v="0"/>
    <x v="2"/>
    <x v="64"/>
  </r>
  <r>
    <x v="65"/>
    <n v="1190"/>
    <n v="1785"/>
    <x v="20"/>
    <x v="23"/>
    <s v=""/>
    <n v="595"/>
    <x v="4"/>
    <x v="1"/>
    <x v="2"/>
    <x v="65"/>
  </r>
  <r>
    <x v="66"/>
    <n v="671"/>
    <n v="1316"/>
    <x v="0"/>
    <x v="23"/>
    <s v=""/>
    <n v="645"/>
    <x v="4"/>
    <x v="0"/>
    <x v="2"/>
    <x v="66"/>
  </r>
  <r>
    <x v="67"/>
    <n v="1200"/>
    <n v="1950"/>
    <x v="31"/>
    <x v="23"/>
    <s v=""/>
    <n v="750"/>
    <x v="4"/>
    <x v="1"/>
    <x v="2"/>
    <x v="67"/>
  </r>
  <r>
    <x v="68"/>
    <n v="199"/>
    <n v="504"/>
    <x v="37"/>
    <x v="23"/>
    <s v=""/>
    <n v="305"/>
    <x v="4"/>
    <x v="0"/>
    <x v="0"/>
    <x v="68"/>
  </r>
  <r>
    <x v="69"/>
    <n v="299"/>
    <n v="600"/>
    <x v="23"/>
    <x v="23"/>
    <s v=""/>
    <n v="301"/>
    <x v="4"/>
    <x v="0"/>
    <x v="0"/>
    <x v="69"/>
  </r>
  <r>
    <x v="70"/>
    <n v="1660"/>
    <n v="1699"/>
    <x v="36"/>
    <x v="23"/>
    <s v=""/>
    <n v="39"/>
    <x v="4"/>
    <x v="2"/>
    <x v="2"/>
    <x v="70"/>
  </r>
  <r>
    <x v="71"/>
    <n v="299"/>
    <n v="384"/>
    <x v="9"/>
    <x v="23"/>
    <s v=""/>
    <n v="85"/>
    <x v="4"/>
    <x v="1"/>
    <x v="0"/>
    <x v="71"/>
  </r>
  <r>
    <x v="72"/>
    <n v="1459"/>
    <n v="1499"/>
    <x v="38"/>
    <x v="23"/>
    <s v=""/>
    <n v="40"/>
    <x v="4"/>
    <x v="2"/>
    <x v="2"/>
    <x v="72"/>
  </r>
  <r>
    <x v="73"/>
    <n v="799"/>
    <n v="1343"/>
    <x v="4"/>
    <x v="23"/>
    <s v=""/>
    <n v="544"/>
    <x v="4"/>
    <x v="0"/>
    <x v="2"/>
    <x v="73"/>
  </r>
  <r>
    <x v="74"/>
    <n v="499"/>
    <n v="900"/>
    <x v="8"/>
    <x v="23"/>
    <s v=""/>
    <n v="401"/>
    <x v="4"/>
    <x v="0"/>
    <x v="2"/>
    <x v="74"/>
  </r>
  <r>
    <x v="75"/>
    <n v="699"/>
    <n v="1343"/>
    <x v="21"/>
    <x v="23"/>
    <s v=""/>
    <n v="644"/>
    <x v="4"/>
    <x v="0"/>
    <x v="2"/>
    <x v="75"/>
  </r>
  <r>
    <x v="76"/>
    <n v="799"/>
    <n v="1567"/>
    <x v="0"/>
    <x v="23"/>
    <s v=""/>
    <n v="768"/>
    <x v="4"/>
    <x v="0"/>
    <x v="2"/>
    <x v="76"/>
  </r>
  <r>
    <x v="77"/>
    <n v="2799"/>
    <n v="3810"/>
    <x v="5"/>
    <x v="23"/>
    <s v=""/>
    <n v="1011"/>
    <x v="4"/>
    <x v="1"/>
    <x v="1"/>
    <x v="77"/>
  </r>
  <r>
    <x v="74"/>
    <n v="399"/>
    <n v="896"/>
    <x v="16"/>
    <x v="23"/>
    <s v=""/>
    <n v="497"/>
    <x v="4"/>
    <x v="0"/>
    <x v="0"/>
    <x v="78"/>
  </r>
  <r>
    <x v="78"/>
    <n v="790"/>
    <n v="1485"/>
    <x v="12"/>
    <x v="23"/>
    <s v=""/>
    <n v="695"/>
    <x v="4"/>
    <x v="0"/>
    <x v="2"/>
    <x v="79"/>
  </r>
  <r>
    <x v="79"/>
    <n v="690"/>
    <n v="1200"/>
    <x v="26"/>
    <x v="23"/>
    <s v=""/>
    <n v="510"/>
    <x v="4"/>
    <x v="0"/>
    <x v="2"/>
    <x v="80"/>
  </r>
  <r>
    <x v="80"/>
    <n v="1732"/>
    <n v="1799"/>
    <x v="39"/>
    <x v="23"/>
    <s v=""/>
    <n v="67"/>
    <x v="4"/>
    <x v="2"/>
    <x v="1"/>
    <x v="81"/>
  </r>
  <r>
    <x v="81"/>
    <n v="230"/>
    <n v="450"/>
    <x v="0"/>
    <x v="23"/>
    <s v=""/>
    <n v="220"/>
    <x v="4"/>
    <x v="0"/>
    <x v="0"/>
    <x v="82"/>
  </r>
  <r>
    <x v="82"/>
    <n v="1460"/>
    <n v="2290"/>
    <x v="40"/>
    <x v="23"/>
    <s v=""/>
    <n v="830"/>
    <x v="4"/>
    <x v="1"/>
    <x v="2"/>
    <x v="83"/>
  </r>
  <r>
    <x v="83"/>
    <n v="1666"/>
    <n v="1699"/>
    <x v="36"/>
    <x v="23"/>
    <s v=""/>
    <n v="33"/>
    <x v="4"/>
    <x v="2"/>
    <x v="2"/>
    <x v="84"/>
  </r>
  <r>
    <x v="68"/>
    <n v="176"/>
    <n v="345"/>
    <x v="0"/>
    <x v="23"/>
    <s v=""/>
    <n v="169"/>
    <x v="4"/>
    <x v="0"/>
    <x v="0"/>
    <x v="85"/>
  </r>
  <r>
    <x v="84"/>
    <n v="1466"/>
    <n v="1699"/>
    <x v="41"/>
    <x v="23"/>
    <s v=""/>
    <n v="233"/>
    <x v="4"/>
    <x v="2"/>
    <x v="2"/>
    <x v="86"/>
  </r>
  <r>
    <x v="85"/>
    <n v="274"/>
    <n v="537"/>
    <x v="0"/>
    <x v="23"/>
    <s v=""/>
    <n v="263"/>
    <x v="4"/>
    <x v="0"/>
    <x v="0"/>
    <x v="87"/>
  </r>
  <r>
    <x v="86"/>
    <n v="799"/>
    <n v="900"/>
    <x v="42"/>
    <x v="23"/>
    <s v=""/>
    <n v="101"/>
    <x v="4"/>
    <x v="2"/>
    <x v="2"/>
    <x v="88"/>
  </r>
  <r>
    <x v="76"/>
    <n v="657"/>
    <n v="1288"/>
    <x v="0"/>
    <x v="23"/>
    <s v=""/>
    <n v="631"/>
    <x v="4"/>
    <x v="0"/>
    <x v="2"/>
    <x v="89"/>
  </r>
  <r>
    <x v="87"/>
    <n v="1468"/>
    <n v="1699"/>
    <x v="41"/>
    <x v="23"/>
    <s v=""/>
    <n v="231"/>
    <x v="4"/>
    <x v="2"/>
    <x v="2"/>
    <x v="90"/>
  </r>
  <r>
    <x v="88"/>
    <n v="630"/>
    <n v="1100"/>
    <x v="26"/>
    <x v="23"/>
    <s v=""/>
    <n v="470"/>
    <x v="4"/>
    <x v="0"/>
    <x v="2"/>
    <x v="91"/>
  </r>
  <r>
    <x v="89"/>
    <n v="850"/>
    <n v="1700"/>
    <x v="23"/>
    <x v="23"/>
    <s v=""/>
    <n v="850"/>
    <x v="4"/>
    <x v="0"/>
    <x v="2"/>
    <x v="92"/>
  </r>
  <r>
    <x v="90"/>
    <n v="1300"/>
    <n v="2500"/>
    <x v="21"/>
    <x v="23"/>
    <s v=""/>
    <n v="1200"/>
    <x v="4"/>
    <x v="0"/>
    <x v="2"/>
    <x v="93"/>
  </r>
  <r>
    <x v="91"/>
    <n v="105"/>
    <n v="200"/>
    <x v="21"/>
    <x v="23"/>
    <s v=""/>
    <n v="95"/>
    <x v="4"/>
    <x v="0"/>
    <x v="0"/>
    <x v="94"/>
  </r>
  <r>
    <x v="92"/>
    <n v="899"/>
    <n v="1699"/>
    <x v="12"/>
    <x v="23"/>
    <s v=""/>
    <n v="800"/>
    <x v="4"/>
    <x v="0"/>
    <x v="2"/>
    <x v="95"/>
  </r>
  <r>
    <x v="93"/>
    <n v="1200"/>
    <n v="2400"/>
    <x v="23"/>
    <x v="23"/>
    <s v=""/>
    <n v="1200"/>
    <x v="4"/>
    <x v="0"/>
    <x v="2"/>
    <x v="96"/>
  </r>
  <r>
    <x v="94"/>
    <n v="1526"/>
    <n v="1660"/>
    <x v="43"/>
    <x v="23"/>
    <s v=""/>
    <n v="134"/>
    <x v="4"/>
    <x v="2"/>
    <x v="2"/>
    <x v="97"/>
  </r>
  <r>
    <x v="95"/>
    <n v="1462"/>
    <n v="1499"/>
    <x v="36"/>
    <x v="23"/>
    <s v=""/>
    <n v="37"/>
    <x v="4"/>
    <x v="2"/>
    <x v="2"/>
    <x v="98"/>
  </r>
  <r>
    <x v="96"/>
    <n v="248"/>
    <n v="486"/>
    <x v="0"/>
    <x v="23"/>
    <s v=""/>
    <n v="238"/>
    <x v="4"/>
    <x v="0"/>
    <x v="0"/>
    <x v="99"/>
  </r>
  <r>
    <x v="97"/>
    <n v="3546"/>
    <n v="3699"/>
    <x v="39"/>
    <x v="23"/>
    <s v=""/>
    <n v="153"/>
    <x v="4"/>
    <x v="2"/>
    <x v="1"/>
    <x v="100"/>
  </r>
  <r>
    <x v="98"/>
    <n v="525"/>
    <n v="1029"/>
    <x v="0"/>
    <x v="23"/>
    <s v=""/>
    <n v="504"/>
    <x v="4"/>
    <x v="0"/>
    <x v="2"/>
    <x v="101"/>
  </r>
  <r>
    <x v="99"/>
    <n v="1080"/>
    <n v="1874"/>
    <x v="24"/>
    <x v="23"/>
    <s v=""/>
    <n v="794"/>
    <x v="4"/>
    <x v="0"/>
    <x v="2"/>
    <x v="102"/>
  </r>
  <r>
    <x v="100"/>
    <n v="1420"/>
    <n v="2420"/>
    <x v="4"/>
    <x v="23"/>
    <s v=""/>
    <n v="1000"/>
    <x v="4"/>
    <x v="0"/>
    <x v="2"/>
    <x v="103"/>
  </r>
  <r>
    <x v="101"/>
    <n v="1875"/>
    <n v="1899"/>
    <x v="44"/>
    <x v="23"/>
    <s v=""/>
    <n v="24"/>
    <x v="4"/>
    <x v="2"/>
    <x v="1"/>
    <x v="104"/>
  </r>
  <r>
    <x v="102"/>
    <n v="198"/>
    <n v="260"/>
    <x v="1"/>
    <x v="23"/>
    <s v=""/>
    <n v="62"/>
    <x v="4"/>
    <x v="1"/>
    <x v="0"/>
    <x v="105"/>
  </r>
  <r>
    <x v="103"/>
    <n v="1150"/>
    <n v="1737"/>
    <x v="3"/>
    <x v="23"/>
    <s v=""/>
    <n v="587"/>
    <x v="4"/>
    <x v="1"/>
    <x v="2"/>
    <x v="106"/>
  </r>
  <r>
    <x v="104"/>
    <n v="1190"/>
    <n v="1810"/>
    <x v="3"/>
    <x v="23"/>
    <s v=""/>
    <n v="620"/>
    <x v="4"/>
    <x v="1"/>
    <x v="2"/>
    <x v="107"/>
  </r>
  <r>
    <x v="105"/>
    <n v="1658"/>
    <n v="1699"/>
    <x v="36"/>
    <x v="23"/>
    <s v=""/>
    <n v="41"/>
    <x v="4"/>
    <x v="2"/>
    <x v="2"/>
    <x v="108"/>
  </r>
  <r>
    <x v="106"/>
    <n v="1768"/>
    <n v="1799"/>
    <x v="36"/>
    <x v="23"/>
    <s v=""/>
    <n v="31"/>
    <x v="4"/>
    <x v="2"/>
    <x v="1"/>
    <x v="109"/>
  </r>
  <r>
    <x v="107"/>
    <n v="199"/>
    <n v="553"/>
    <x v="45"/>
    <x v="23"/>
    <s v=""/>
    <n v="354"/>
    <x v="4"/>
    <x v="0"/>
    <x v="0"/>
    <x v="110"/>
  </r>
  <r>
    <x v="108"/>
    <n v="169"/>
    <n v="320"/>
    <x v="12"/>
    <x v="23"/>
    <s v=""/>
    <n v="151"/>
    <x v="4"/>
    <x v="0"/>
    <x v="0"/>
    <x v="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20:B24" firstHeaderRow="1" firstDataRow="1" firstDataCol="1"/>
  <pivotFields count="10">
    <pivotField showAll="0"/>
    <pivotField showAll="0"/>
    <pivotField showAll="0"/>
    <pivotField numFmtId="9" showAll="0"/>
    <pivotField showAll="0"/>
    <pivotField dataField="1" showAll="0"/>
    <pivotField showAll="0"/>
    <pivotField showAll="0">
      <items count="6">
        <item x="3"/>
        <item x="1"/>
        <item x="2"/>
        <item x="4"/>
        <item x="0"/>
        <item t="default"/>
      </items>
    </pivotField>
    <pivotField showAll="0">
      <items count="4">
        <item x="0"/>
        <item x="2"/>
        <item x="1"/>
        <item t="default"/>
      </items>
    </pivotField>
    <pivotField axis="axisRow" showAll="0">
      <items count="4">
        <item x="0"/>
        <item x="2"/>
        <item x="1"/>
        <item t="default"/>
      </items>
    </pivotField>
  </pivotFields>
  <rowFields count="1">
    <field x="9"/>
  </rowFields>
  <rowItems count="4">
    <i>
      <x/>
    </i>
    <i>
      <x v="1"/>
    </i>
    <i>
      <x v="2"/>
    </i>
    <i t="grand">
      <x/>
    </i>
  </rowItems>
  <colItems count="1">
    <i/>
  </colItems>
  <dataFields count="1">
    <dataField name="Average of Rating" fld="5" subtotal="average" baseField="9" baseItem="0"/>
  </dataField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2:B6" firstHeaderRow="1" firstDataRow="1" firstDataCol="1"/>
  <pivotFields count="10">
    <pivotField showAll="0"/>
    <pivotField showAll="0"/>
    <pivotField showAll="0"/>
    <pivotField numFmtId="9" showAll="0"/>
    <pivotField dataField="1" showAll="0"/>
    <pivotField showAll="0"/>
    <pivotField showAll="0"/>
    <pivotField showAll="0">
      <items count="6">
        <item x="3"/>
        <item x="1"/>
        <item x="2"/>
        <item x="4"/>
        <item x="0"/>
        <item t="default"/>
      </items>
    </pivotField>
    <pivotField axis="axisRow" showAll="0">
      <items count="4">
        <item x="2"/>
        <item x="1"/>
        <item x="0"/>
        <item t="default"/>
      </items>
    </pivotField>
    <pivotField showAll="0">
      <items count="4">
        <item x="1"/>
        <item x="0"/>
        <item x="2"/>
        <item t="default"/>
      </items>
    </pivotField>
  </pivotFields>
  <rowFields count="1">
    <field x="8"/>
  </rowFields>
  <rowItems count="4">
    <i>
      <x/>
    </i>
    <i>
      <x v="1"/>
    </i>
    <i>
      <x v="2"/>
    </i>
    <i t="grand">
      <x/>
    </i>
  </rowItems>
  <colItems count="1">
    <i/>
  </colItems>
  <dataFields count="1">
    <dataField name="Average of Review" fld="4" subtotal="average" baseField="8" baseItem="0"/>
  </dataFields>
  <chartFormats count="4">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8:E35" firstHeaderRow="1" firstDataRow="2" firstDataCol="1"/>
  <pivotFields count="10">
    <pivotField dataField="1" showAll="0"/>
    <pivotField showAll="0"/>
    <pivotField showAll="0"/>
    <pivotField numFmtId="9" showAll="0"/>
    <pivotField showAll="0"/>
    <pivotField showAll="0"/>
    <pivotField showAll="0"/>
    <pivotField axis="axisRow" showAll="0">
      <items count="6">
        <item x="3"/>
        <item x="1"/>
        <item x="2"/>
        <item x="4"/>
        <item x="0"/>
        <item t="default"/>
      </items>
    </pivotField>
    <pivotField axis="axisCol" showAll="0">
      <items count="4">
        <item x="0"/>
        <item x="2"/>
        <item x="1"/>
        <item t="default"/>
      </items>
    </pivotField>
    <pivotField showAll="0">
      <items count="4">
        <item x="1"/>
        <item x="0"/>
        <item x="2"/>
        <item t="default"/>
      </items>
    </pivotField>
  </pivotFields>
  <rowFields count="1">
    <field x="7"/>
  </rowFields>
  <rowItems count="6">
    <i>
      <x/>
    </i>
    <i>
      <x v="1"/>
    </i>
    <i>
      <x v="2"/>
    </i>
    <i>
      <x v="3"/>
    </i>
    <i>
      <x v="4"/>
    </i>
    <i t="grand">
      <x/>
    </i>
  </rowItems>
  <colFields count="1">
    <field x="8"/>
  </colFields>
  <colItems count="4">
    <i>
      <x/>
    </i>
    <i>
      <x v="1"/>
    </i>
    <i>
      <x v="2"/>
    </i>
    <i t="grand">
      <x/>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0:B16" firstHeaderRow="1" firstDataRow="1" firstDataCol="1"/>
  <pivotFields count="10">
    <pivotField showAll="0"/>
    <pivotField showAll="0"/>
    <pivotField showAll="0"/>
    <pivotField numFmtId="9" showAll="0"/>
    <pivotField dataField="1" showAll="0"/>
    <pivotField showAll="0"/>
    <pivotField showAll="0"/>
    <pivotField axis="axisRow" showAll="0" nonAutoSortDefault="1">
      <items count="6">
        <item x="0"/>
        <item x="3"/>
        <item x="2"/>
        <item x="1"/>
        <item x="4"/>
        <item t="default"/>
      </items>
    </pivotField>
    <pivotField showAll="0">
      <items count="4">
        <item x="0"/>
        <item x="2"/>
        <item x="1"/>
        <item t="default"/>
      </items>
    </pivotField>
    <pivotField showAll="0">
      <items count="4">
        <item x="1"/>
        <item x="0"/>
        <item x="2"/>
        <item t="default"/>
      </items>
    </pivotField>
  </pivotFields>
  <rowFields count="1">
    <field x="7"/>
  </rowFields>
  <rowItems count="6">
    <i>
      <x/>
    </i>
    <i>
      <x v="1"/>
    </i>
    <i>
      <x v="2"/>
    </i>
    <i>
      <x v="3"/>
    </i>
    <i>
      <x v="4"/>
    </i>
    <i t="grand">
      <x/>
    </i>
  </rowItems>
  <colItems count="1">
    <i/>
  </colItems>
  <dataFields count="1">
    <dataField name="Average of Review" fld="4" subtotal="average" baseField="7" baseItem="0"/>
  </dataField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PivotTable1"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location ref="A38:B48" firstHeaderRow="1" firstDataRow="1" firstDataCol="1"/>
  <pivotFields count="11">
    <pivotField axis="axisRow" compact="0" outline="0" showAll="0" measureFilter="1" sortType="descending" defaultSubtotal="0">
      <items count="109">
        <item x="50"/>
        <item x="4"/>
        <item x="45"/>
        <item x="17"/>
        <item x="22"/>
        <item x="0"/>
        <item x="77"/>
        <item x="39"/>
        <item x="1"/>
        <item x="102"/>
        <item x="83"/>
        <item x="12"/>
        <item x="101"/>
        <item x="93"/>
        <item x="67"/>
        <item x="78"/>
        <item x="41"/>
        <item x="29"/>
        <item x="3"/>
        <item x="79"/>
        <item x="16"/>
        <item x="96"/>
        <item x="20"/>
        <item x="60"/>
        <item x="57"/>
        <item x="33"/>
        <item x="8"/>
        <item x="6"/>
        <item x="9"/>
        <item x="82"/>
        <item x="18"/>
        <item x="107"/>
        <item x="92"/>
        <item x="65"/>
        <item x="81"/>
        <item x="36"/>
        <item x="99"/>
        <item x="100"/>
        <item x="10"/>
        <item x="76"/>
        <item x="47"/>
        <item x="34"/>
        <item x="98"/>
        <item x="62"/>
        <item x="53"/>
        <item x="108"/>
        <item x="69"/>
        <item x="66"/>
        <item x="85"/>
        <item x="104"/>
        <item x="64"/>
        <item x="75"/>
        <item x="49"/>
        <item x="68"/>
        <item x="80"/>
        <item x="73"/>
        <item x="46"/>
        <item x="51"/>
        <item x="30"/>
        <item x="2"/>
        <item x="25"/>
        <item x="15"/>
        <item x="19"/>
        <item x="54"/>
        <item x="13"/>
        <item x="55"/>
        <item x="42"/>
        <item x="28"/>
        <item x="44"/>
        <item x="31"/>
        <item x="38"/>
        <item x="59"/>
        <item x="26"/>
        <item x="32"/>
        <item x="103"/>
        <item x="40"/>
        <item x="52"/>
        <item x="14"/>
        <item x="97"/>
        <item x="61"/>
        <item x="24"/>
        <item x="88"/>
        <item x="58"/>
        <item x="72"/>
        <item x="23"/>
        <item x="84"/>
        <item x="86"/>
        <item x="48"/>
        <item x="70"/>
        <item x="71"/>
        <item x="37"/>
        <item x="7"/>
        <item x="95"/>
        <item x="21"/>
        <item x="90"/>
        <item x="5"/>
        <item x="91"/>
        <item x="63"/>
        <item x="105"/>
        <item x="74"/>
        <item x="106"/>
        <item x="11"/>
        <item x="89"/>
        <item x="94"/>
        <item x="56"/>
        <item x="87"/>
        <item x="35"/>
        <item x="27"/>
        <item x="4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9" outline="0" showAll="0" defaultSubtotal="0"/>
    <pivotField dataField="1" compact="0" outline="0" showAll="0" defaultSubtotal="0"/>
    <pivotField compact="0" outline="0" showAll="0" defaultSubtotal="0"/>
    <pivotField compact="0" outline="0" showAll="0" defaultSubtotal="0"/>
    <pivotField compact="0" outline="0" showAll="0" defaultSubtotal="0">
      <items count="5">
        <item x="3"/>
        <item x="1"/>
        <item x="2"/>
        <item x="4"/>
        <item x="0"/>
      </items>
    </pivotField>
    <pivotField compact="0" outline="0" showAll="0" defaultSubtotal="0">
      <items count="3">
        <item x="0"/>
        <item x="2"/>
        <item x="1"/>
      </items>
    </pivotField>
    <pivotField compact="0" outline="0" showAll="0" defaultSubtotal="0">
      <items count="3">
        <item x="1"/>
        <item x="0"/>
        <item x="2"/>
      </items>
    </pivotField>
    <pivotField compact="0" outline="0" showAll="0" defaultSubtota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pivotField>
  </pivotFields>
  <rowFields count="1">
    <field x="0"/>
  </rowFields>
  <rowItems count="10">
    <i>
      <x v="5"/>
    </i>
    <i>
      <x v="8"/>
    </i>
    <i>
      <x v="59"/>
    </i>
    <i>
      <x v="18"/>
    </i>
    <i>
      <x v="1"/>
    </i>
    <i>
      <x v="95"/>
    </i>
    <i>
      <x v="27"/>
    </i>
    <i>
      <x v="91"/>
    </i>
    <i>
      <x v="28"/>
    </i>
    <i>
      <x v="26"/>
    </i>
  </rowItems>
  <colItems count="1">
    <i/>
  </colItems>
  <dataFields count="1">
    <dataField name="Sum of Review" fld="4" baseField="0" baseItem="0"/>
  </dataField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PivotTable9"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location ref="A75:B85" firstHeaderRow="1" firstDataRow="1" firstDataCol="1"/>
  <pivotFields count="11">
    <pivotField axis="axisRow" compact="0" outline="0" showAll="0" measureFilter="1" sortType="descending" defaultSubtotal="0">
      <items count="109">
        <item x="50"/>
        <item x="4"/>
        <item x="45"/>
        <item x="17"/>
        <item x="22"/>
        <item x="0"/>
        <item x="77"/>
        <item x="39"/>
        <item x="1"/>
        <item x="102"/>
        <item x="83"/>
        <item x="12"/>
        <item x="101"/>
        <item x="93"/>
        <item x="67"/>
        <item x="78"/>
        <item x="41"/>
        <item x="29"/>
        <item x="3"/>
        <item x="79"/>
        <item x="16"/>
        <item x="96"/>
        <item x="20"/>
        <item x="60"/>
        <item x="57"/>
        <item x="33"/>
        <item x="8"/>
        <item x="6"/>
        <item x="9"/>
        <item x="82"/>
        <item x="18"/>
        <item x="107"/>
        <item x="92"/>
        <item x="65"/>
        <item x="81"/>
        <item x="36"/>
        <item x="99"/>
        <item x="100"/>
        <item x="10"/>
        <item x="76"/>
        <item x="47"/>
        <item x="34"/>
        <item x="98"/>
        <item x="62"/>
        <item x="53"/>
        <item x="108"/>
        <item x="69"/>
        <item x="66"/>
        <item x="85"/>
        <item x="104"/>
        <item x="64"/>
        <item x="75"/>
        <item x="49"/>
        <item x="68"/>
        <item x="80"/>
        <item x="73"/>
        <item x="46"/>
        <item x="51"/>
        <item x="30"/>
        <item x="2"/>
        <item x="25"/>
        <item x="15"/>
        <item x="19"/>
        <item x="54"/>
        <item x="13"/>
        <item x="55"/>
        <item x="42"/>
        <item x="28"/>
        <item x="44"/>
        <item x="31"/>
        <item x="38"/>
        <item x="59"/>
        <item x="26"/>
        <item x="32"/>
        <item x="103"/>
        <item x="40"/>
        <item x="52"/>
        <item x="14"/>
        <item x="97"/>
        <item x="61"/>
        <item x="24"/>
        <item x="88"/>
        <item x="58"/>
        <item x="72"/>
        <item x="23"/>
        <item x="84"/>
        <item x="86"/>
        <item x="48"/>
        <item x="70"/>
        <item x="71"/>
        <item x="37"/>
        <item x="7"/>
        <item x="95"/>
        <item x="21"/>
        <item x="90"/>
        <item x="5"/>
        <item x="91"/>
        <item x="63"/>
        <item x="105"/>
        <item x="74"/>
        <item x="106"/>
        <item x="11"/>
        <item x="89"/>
        <item x="94"/>
        <item x="56"/>
        <item x="87"/>
        <item x="35"/>
        <item x="27"/>
        <item x="4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numFmtId="9" outline="0" showAll="0" defaultSubtotal="0"/>
    <pivotField compact="0" outline="0" showAll="0" defaultSubtotal="0"/>
    <pivotField compact="0" outline="0" showAll="0" defaultSubtotal="0"/>
    <pivotField compact="0" outline="0" showAll="0" defaultSubtotal="0"/>
    <pivotField compact="0" outline="0" showAll="0" defaultSubtotal="0">
      <items count="5">
        <item x="3"/>
        <item x="1"/>
        <item x="2"/>
        <item x="4"/>
        <item x="0"/>
      </items>
    </pivotField>
    <pivotField compact="0" outline="0" showAll="0" defaultSubtotal="0">
      <items count="3">
        <item x="0"/>
        <item x="2"/>
        <item x="1"/>
      </items>
    </pivotField>
    <pivotField compact="0" outline="0" showAll="0" defaultSubtotal="0">
      <items count="3">
        <item x="1"/>
        <item x="0"/>
        <item x="2"/>
      </items>
    </pivotField>
    <pivotField compact="0" outline="0" showAll="0" sortType="descending" defaultSubtota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autoSortScope>
        <pivotArea dataOnly="0" outline="0" fieldPosition="0">
          <references count="1">
            <reference field="4294967294" count="1" selected="0">
              <x v="0"/>
            </reference>
          </references>
        </pivotArea>
      </autoSortScope>
    </pivotField>
  </pivotFields>
  <rowFields count="1">
    <field x="0"/>
  </rowFields>
  <rowItems count="10">
    <i>
      <x v="31"/>
    </i>
    <i>
      <x v="70"/>
    </i>
    <i>
      <x v="30"/>
    </i>
    <i>
      <x v="53"/>
    </i>
    <i>
      <x v="67"/>
    </i>
    <i>
      <x v="84"/>
    </i>
    <i>
      <x v="52"/>
    </i>
    <i>
      <x v="20"/>
    </i>
    <i>
      <x v="60"/>
    </i>
    <i>
      <x v="64"/>
    </i>
  </rowItems>
  <colItems count="1">
    <i/>
  </colItems>
  <dataFields count="1">
    <dataField name="Average of Discount" fld="3" subtotal="average" baseField="10" baseItem="0" numFmtId="9"/>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PivotTable6"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location ref="A59:B69" firstHeaderRow="1" firstDataRow="1" firstDataCol="1"/>
  <pivotFields count="11">
    <pivotField axis="axisRow" compact="0" outline="0" showAll="0" measureFilter="1" sortType="descending" defaultSubtotal="0">
      <items count="109">
        <item x="50"/>
        <item x="4"/>
        <item x="45"/>
        <item x="17"/>
        <item x="22"/>
        <item x="0"/>
        <item x="77"/>
        <item x="39"/>
        <item x="1"/>
        <item x="102"/>
        <item x="83"/>
        <item x="12"/>
        <item x="101"/>
        <item x="93"/>
        <item x="67"/>
        <item x="78"/>
        <item x="41"/>
        <item x="29"/>
        <item x="3"/>
        <item x="79"/>
        <item x="16"/>
        <item x="96"/>
        <item x="20"/>
        <item x="60"/>
        <item x="57"/>
        <item x="33"/>
        <item x="8"/>
        <item x="6"/>
        <item x="9"/>
        <item x="82"/>
        <item x="18"/>
        <item x="107"/>
        <item x="92"/>
        <item x="65"/>
        <item x="81"/>
        <item x="36"/>
        <item x="99"/>
        <item x="100"/>
        <item x="10"/>
        <item x="76"/>
        <item x="47"/>
        <item x="34"/>
        <item x="98"/>
        <item x="62"/>
        <item x="53"/>
        <item x="108"/>
        <item x="69"/>
        <item x="66"/>
        <item x="85"/>
        <item x="104"/>
        <item x="64"/>
        <item x="75"/>
        <item x="49"/>
        <item x="68"/>
        <item x="80"/>
        <item x="73"/>
        <item x="46"/>
        <item x="51"/>
        <item x="30"/>
        <item x="2"/>
        <item x="25"/>
        <item x="15"/>
        <item x="19"/>
        <item x="54"/>
        <item x="13"/>
        <item x="55"/>
        <item x="42"/>
        <item x="28"/>
        <item x="44"/>
        <item x="31"/>
        <item x="38"/>
        <item x="59"/>
        <item x="26"/>
        <item x="32"/>
        <item x="103"/>
        <item x="40"/>
        <item x="52"/>
        <item x="14"/>
        <item x="97"/>
        <item x="61"/>
        <item x="24"/>
        <item x="88"/>
        <item x="58"/>
        <item x="72"/>
        <item x="23"/>
        <item x="84"/>
        <item x="86"/>
        <item x="48"/>
        <item x="70"/>
        <item x="71"/>
        <item x="37"/>
        <item x="7"/>
        <item x="95"/>
        <item x="21"/>
        <item x="90"/>
        <item x="5"/>
        <item x="91"/>
        <item x="63"/>
        <item x="105"/>
        <item x="74"/>
        <item x="106"/>
        <item x="11"/>
        <item x="89"/>
        <item x="94"/>
        <item x="56"/>
        <item x="87"/>
        <item x="35"/>
        <item x="27"/>
        <item x="4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9" outline="0" showAll="0" defaultSubtotal="0"/>
    <pivotField compact="0" outline="0" showAll="0" defaultSubtotal="0"/>
    <pivotField dataField="1" compact="0" outline="0" showAll="0" defaultSubtotal="0"/>
    <pivotField compact="0" outline="0" showAll="0" defaultSubtotal="0"/>
    <pivotField compact="0" outline="0" showAll="0" defaultSubtotal="0">
      <items count="5">
        <item x="3"/>
        <item x="1"/>
        <item x="2"/>
        <item x="4"/>
        <item x="0"/>
      </items>
    </pivotField>
    <pivotField compact="0" outline="0" showAll="0" defaultSubtotal="0">
      <items count="3">
        <item x="0"/>
        <item x="2"/>
        <item x="1"/>
      </items>
    </pivotField>
    <pivotField compact="0" outline="0" showAll="0" defaultSubtotal="0">
      <items count="3">
        <item x="1"/>
        <item x="0"/>
        <item x="2"/>
      </items>
    </pivotField>
    <pivotField compact="0" outline="0" showAll="0" sortType="descending" defaultSubtotal="0">
      <items count="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s>
  <rowFields count="1">
    <field x="0"/>
  </rowFields>
  <rowItems count="10">
    <i>
      <x v="52"/>
    </i>
    <i>
      <x v="68"/>
    </i>
    <i>
      <x v="65"/>
    </i>
    <i>
      <x v="40"/>
    </i>
    <i>
      <x v="87"/>
    </i>
    <i>
      <x v="44"/>
    </i>
    <i>
      <x v="57"/>
    </i>
    <i>
      <x v="70"/>
    </i>
    <i>
      <x v="90"/>
    </i>
    <i>
      <x v="22"/>
    </i>
  </rowItems>
  <colItems count="1">
    <i/>
  </colItems>
  <dataFields count="1">
    <dataField name="Average of Rating" fld="5" subtotal="average" baseField="10" baseItem="56"/>
  </dataField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0000000-0013-0000-FFFF-FFFF01000000}" sourceName="Discount Category">
  <pivotTables>
    <pivotTable tabId="10" name="PivotTable2"/>
    <pivotTable tabId="10" name="PivotTable3"/>
    <pivotTable tabId="10" name="PivotTable4"/>
    <pivotTable tabId="10" name="PivotTable5"/>
  </pivotTables>
  <data>
    <tabular pivotCacheId="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000000-0013-0000-FFFF-FFFF02000000}" sourceName="Rating Category">
  <pivotTables>
    <pivotTable tabId="10" name="PivotTable3"/>
    <pivotTable tabId="10" name="PivotTable2"/>
    <pivotTable tabId="10" name="PivotTable4"/>
    <pivotTable tabId="10" name="PivotTable5"/>
  </pivotTables>
  <data>
    <tabular pivotCacheId="2">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00000000-0013-0000-FFFF-FFFF03000000}" sourceName="Price Category">
  <pivotTables>
    <pivotTable tabId="10" name="PivotTable4"/>
    <pivotTable tabId="10" name="PivotTable2"/>
    <pivotTable tabId="10" name="PivotTable3"/>
    <pivotTable tabId="10" name="PivotTable5"/>
  </pivotTables>
  <data>
    <tabular pivotCacheId="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00000000-0014-0000-FFFF-FFFF01000000}" cache="Slicer_Discount_Category" caption="Discount Category" style="SlicerStyleDark5" rowHeight="234950"/>
  <slicer name="Rating Category" xr10:uid="{00000000-0014-0000-FFFF-FFFF02000000}" cache="Slicer_Rating_Category" caption="Rating Category" style="SlicerStyleDark5" rowHeight="234950"/>
  <slicer name="Price Category" xr10:uid="{00000000-0014-0000-FFFF-FFFF03000000}" cache="Slicer_Price_Category" caption="Price Category" style="SlicerStyleDark5" rowHeight="234950"/>
</slicers>
</file>

<file path=xl/theme/theme1.xml><?xml version="1.0" encoding="utf-8"?>
<a:theme xmlns:a="http://schemas.openxmlformats.org/drawingml/2006/main" name="Office Theme">
  <a:themeElements>
    <a:clrScheme name="Pushpin">
      <a:dk1>
        <a:sysClr val="windowText" lastClr="000000"/>
      </a:dk1>
      <a:lt1>
        <a:sysClr val="window" lastClr="FFFFFF"/>
      </a:lt1>
      <a:dk2>
        <a:srgbClr val="465E9C"/>
      </a:dk2>
      <a:lt2>
        <a:srgbClr val="CCDDEA"/>
      </a:lt2>
      <a:accent1>
        <a:srgbClr val="FDA023"/>
      </a:accent1>
      <a:accent2>
        <a:srgbClr val="AA2B1E"/>
      </a:accent2>
      <a:accent3>
        <a:srgbClr val="71685C"/>
      </a:accent3>
      <a:accent4>
        <a:srgbClr val="64A73B"/>
      </a:accent4>
      <a:accent5>
        <a:srgbClr val="EB5605"/>
      </a:accent5>
      <a:accent6>
        <a:srgbClr val="B9CA1A"/>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W20"/>
  <sheetViews>
    <sheetView showGridLines="0" tabSelected="1" zoomScale="90" zoomScaleNormal="90" workbookViewId="0">
      <selection activeCell="AD15" sqref="AD15"/>
    </sheetView>
  </sheetViews>
  <sheetFormatPr defaultColWidth="8.85546875" defaultRowHeight="15" x14ac:dyDescent="0.25"/>
  <cols>
    <col min="1" max="16384" width="8.85546875" style="18"/>
  </cols>
  <sheetData>
    <row r="1" spans="1:23" x14ac:dyDescent="0.25">
      <c r="A1" s="27" t="s">
        <v>494</v>
      </c>
      <c r="B1" s="28"/>
      <c r="C1" s="28"/>
      <c r="D1" s="28"/>
      <c r="E1" s="28"/>
      <c r="F1" s="28"/>
      <c r="G1" s="28"/>
      <c r="H1" s="28"/>
      <c r="I1" s="28"/>
      <c r="J1" s="28"/>
      <c r="K1" s="28"/>
      <c r="L1" s="28"/>
      <c r="M1" s="28"/>
      <c r="N1" s="28"/>
      <c r="O1" s="28"/>
      <c r="P1" s="28"/>
      <c r="Q1" s="28"/>
      <c r="R1" s="28"/>
      <c r="S1" s="28"/>
      <c r="T1" s="28"/>
      <c r="U1" s="28"/>
      <c r="V1" s="28"/>
      <c r="W1" s="28"/>
    </row>
    <row r="2" spans="1:23" x14ac:dyDescent="0.25">
      <c r="A2" s="28"/>
      <c r="B2" s="28"/>
      <c r="C2" s="28"/>
      <c r="D2" s="28"/>
      <c r="E2" s="28"/>
      <c r="F2" s="28"/>
      <c r="G2" s="28"/>
      <c r="H2" s="28"/>
      <c r="I2" s="28"/>
      <c r="J2" s="28"/>
      <c r="K2" s="28"/>
      <c r="L2" s="28"/>
      <c r="M2" s="28"/>
      <c r="N2" s="28"/>
      <c r="O2" s="28"/>
      <c r="P2" s="28"/>
      <c r="Q2" s="28"/>
      <c r="R2" s="28"/>
      <c r="S2" s="28"/>
      <c r="T2" s="28"/>
      <c r="U2" s="28"/>
      <c r="V2" s="28"/>
      <c r="W2" s="28"/>
    </row>
    <row r="3" spans="1:23" ht="18.75" x14ac:dyDescent="0.3">
      <c r="A3" s="29" t="s">
        <v>495</v>
      </c>
      <c r="B3" s="29"/>
      <c r="C3" s="29"/>
      <c r="D3" s="29"/>
      <c r="E3" s="29"/>
      <c r="F3" s="29"/>
      <c r="G3" s="29"/>
      <c r="H3" s="29"/>
      <c r="I3" s="29"/>
      <c r="J3" s="29"/>
      <c r="K3" s="29"/>
      <c r="L3" s="29"/>
      <c r="M3" s="29"/>
      <c r="N3" s="29"/>
      <c r="O3" s="29"/>
      <c r="P3" s="29"/>
      <c r="Q3" s="29"/>
      <c r="R3" s="29"/>
      <c r="S3" s="29"/>
      <c r="T3" s="29"/>
      <c r="U3" s="29"/>
      <c r="V3" s="29"/>
      <c r="W3" s="29"/>
    </row>
    <row r="9" spans="1:23" x14ac:dyDescent="0.25">
      <c r="A9" s="25" t="s">
        <v>500</v>
      </c>
      <c r="B9" s="25"/>
      <c r="C9" s="25"/>
      <c r="D9" s="25"/>
      <c r="E9" s="25"/>
      <c r="F9" s="25"/>
      <c r="H9" s="25" t="s">
        <v>501</v>
      </c>
      <c r="I9" s="25"/>
      <c r="J9" s="25"/>
      <c r="K9" s="25"/>
      <c r="L9" s="25"/>
      <c r="M9" s="25"/>
      <c r="O9" s="25" t="s">
        <v>502</v>
      </c>
      <c r="P9" s="25"/>
      <c r="Q9" s="25"/>
      <c r="R9" s="25"/>
      <c r="S9" s="25"/>
      <c r="T9" s="25"/>
    </row>
    <row r="10" spans="1:23" ht="15.75" x14ac:dyDescent="0.25">
      <c r="A10" s="26" t="s">
        <v>0</v>
      </c>
      <c r="B10" s="26"/>
      <c r="C10" s="26"/>
      <c r="D10" s="26"/>
      <c r="E10" s="26"/>
      <c r="F10" s="20" t="s">
        <v>503</v>
      </c>
      <c r="G10" s="19"/>
      <c r="H10" s="26" t="s">
        <v>0</v>
      </c>
      <c r="I10" s="26"/>
      <c r="J10" s="26"/>
      <c r="K10" s="26"/>
      <c r="L10" s="26"/>
      <c r="M10" s="20" t="s">
        <v>351</v>
      </c>
      <c r="N10" s="19"/>
      <c r="O10" s="26" t="s">
        <v>0</v>
      </c>
      <c r="P10" s="26"/>
      <c r="Q10" s="26"/>
      <c r="R10" s="26"/>
      <c r="S10" s="26"/>
      <c r="T10" s="20" t="s">
        <v>3</v>
      </c>
    </row>
    <row r="11" spans="1:23" x14ac:dyDescent="0.25">
      <c r="A11" s="24" t="s">
        <v>194</v>
      </c>
      <c r="B11" s="24"/>
      <c r="C11" s="24"/>
      <c r="D11" s="24"/>
      <c r="E11" s="24"/>
      <c r="F11" s="21">
        <v>69</v>
      </c>
      <c r="H11" s="24" t="s">
        <v>120</v>
      </c>
      <c r="I11" s="24"/>
      <c r="J11" s="24"/>
      <c r="K11" s="24"/>
      <c r="L11" s="24"/>
      <c r="M11" s="21">
        <v>5</v>
      </c>
      <c r="O11" s="24" t="s">
        <v>316</v>
      </c>
      <c r="P11" s="24"/>
      <c r="Q11" s="24"/>
      <c r="R11" s="24"/>
      <c r="S11" s="24"/>
      <c r="T11" s="22">
        <v>0.64</v>
      </c>
    </row>
    <row r="12" spans="1:23" x14ac:dyDescent="0.25">
      <c r="A12" s="24" t="s">
        <v>30</v>
      </c>
      <c r="B12" s="24"/>
      <c r="C12" s="24"/>
      <c r="D12" s="24"/>
      <c r="E12" s="24"/>
      <c r="F12" s="21">
        <v>55</v>
      </c>
      <c r="H12" s="24" t="s">
        <v>63</v>
      </c>
      <c r="I12" s="24"/>
      <c r="J12" s="24"/>
      <c r="K12" s="24"/>
      <c r="L12" s="24"/>
      <c r="M12" s="21">
        <v>5</v>
      </c>
      <c r="O12" s="24" t="s">
        <v>35</v>
      </c>
      <c r="P12" s="24"/>
      <c r="Q12" s="24"/>
      <c r="R12" s="24"/>
      <c r="S12" s="24"/>
      <c r="T12" s="22">
        <v>0.55000000000000004</v>
      </c>
    </row>
    <row r="13" spans="1:23" x14ac:dyDescent="0.25">
      <c r="A13" s="24" t="s">
        <v>89</v>
      </c>
      <c r="B13" s="24"/>
      <c r="C13" s="24"/>
      <c r="D13" s="24"/>
      <c r="E13" s="24"/>
      <c r="F13" s="21">
        <v>49</v>
      </c>
      <c r="H13" s="24" t="s">
        <v>295</v>
      </c>
      <c r="I13" s="24"/>
      <c r="J13" s="24"/>
      <c r="K13" s="24"/>
      <c r="L13" s="24"/>
      <c r="M13" s="21">
        <v>5</v>
      </c>
      <c r="O13" s="24" t="s">
        <v>190</v>
      </c>
      <c r="P13" s="24"/>
      <c r="Q13" s="24"/>
      <c r="R13" s="24"/>
      <c r="S13" s="24"/>
      <c r="T13" s="22">
        <v>0.55000000000000004</v>
      </c>
    </row>
    <row r="14" spans="1:23" x14ac:dyDescent="0.25">
      <c r="A14" s="24" t="s">
        <v>68</v>
      </c>
      <c r="B14" s="24"/>
      <c r="C14" s="24"/>
      <c r="D14" s="24"/>
      <c r="E14" s="24"/>
      <c r="F14" s="21">
        <v>44</v>
      </c>
      <c r="H14" s="24" t="s">
        <v>56</v>
      </c>
      <c r="I14" s="24"/>
      <c r="J14" s="24"/>
      <c r="K14" s="24"/>
      <c r="L14" s="24"/>
      <c r="M14" s="21">
        <v>5</v>
      </c>
      <c r="O14" s="24" t="s">
        <v>154</v>
      </c>
      <c r="P14" s="24"/>
      <c r="Q14" s="24"/>
      <c r="R14" s="24"/>
      <c r="S14" s="24"/>
      <c r="T14" s="22">
        <v>0.55000000000000004</v>
      </c>
    </row>
    <row r="15" spans="1:23" x14ac:dyDescent="0.25">
      <c r="A15" s="24" t="s">
        <v>44</v>
      </c>
      <c r="B15" s="24"/>
      <c r="C15" s="24"/>
      <c r="D15" s="24"/>
      <c r="E15" s="24"/>
      <c r="F15" s="21">
        <v>39</v>
      </c>
      <c r="H15" s="24" t="s">
        <v>60</v>
      </c>
      <c r="I15" s="24"/>
      <c r="J15" s="24"/>
      <c r="K15" s="24"/>
      <c r="L15" s="24"/>
      <c r="M15" s="21">
        <v>5</v>
      </c>
      <c r="O15" s="24" t="s">
        <v>85</v>
      </c>
      <c r="P15" s="24"/>
      <c r="Q15" s="24"/>
      <c r="R15" s="24"/>
      <c r="S15" s="24"/>
      <c r="T15" s="22">
        <v>0.54</v>
      </c>
    </row>
    <row r="16" spans="1:23" x14ac:dyDescent="0.25">
      <c r="A16" s="24" t="s">
        <v>122</v>
      </c>
      <c r="B16" s="24"/>
      <c r="C16" s="24"/>
      <c r="D16" s="24"/>
      <c r="E16" s="24"/>
      <c r="F16" s="21">
        <v>36</v>
      </c>
      <c r="H16" s="24" t="s">
        <v>245</v>
      </c>
      <c r="I16" s="24"/>
      <c r="J16" s="24"/>
      <c r="K16" s="24"/>
      <c r="L16" s="24"/>
      <c r="M16" s="21">
        <v>5</v>
      </c>
      <c r="O16" s="24" t="s">
        <v>186</v>
      </c>
      <c r="P16" s="24"/>
      <c r="Q16" s="24"/>
      <c r="R16" s="24"/>
      <c r="S16" s="24"/>
      <c r="T16" s="22">
        <v>0.54</v>
      </c>
    </row>
    <row r="17" spans="1:20" x14ac:dyDescent="0.25">
      <c r="A17" s="24" t="s">
        <v>114</v>
      </c>
      <c r="B17" s="24"/>
      <c r="C17" s="24"/>
      <c r="D17" s="24"/>
      <c r="E17" s="24"/>
      <c r="F17" s="21">
        <v>32</v>
      </c>
      <c r="H17" s="24" t="s">
        <v>117</v>
      </c>
      <c r="I17" s="24"/>
      <c r="J17" s="24"/>
      <c r="K17" s="24"/>
      <c r="L17" s="24"/>
      <c r="M17" s="21">
        <v>5</v>
      </c>
      <c r="O17" s="24" t="s">
        <v>120</v>
      </c>
      <c r="P17" s="24"/>
      <c r="Q17" s="24"/>
      <c r="R17" s="24"/>
      <c r="S17" s="24"/>
      <c r="T17" s="22">
        <v>0.53</v>
      </c>
    </row>
    <row r="18" spans="1:20" x14ac:dyDescent="0.25">
      <c r="A18" s="24" t="s">
        <v>14</v>
      </c>
      <c r="B18" s="24"/>
      <c r="C18" s="24"/>
      <c r="D18" s="24"/>
      <c r="E18" s="24"/>
      <c r="F18" s="21">
        <v>24</v>
      </c>
      <c r="H18" s="24" t="s">
        <v>35</v>
      </c>
      <c r="I18" s="24"/>
      <c r="J18" s="24"/>
      <c r="K18" s="24"/>
      <c r="L18" s="24"/>
      <c r="M18" s="21">
        <v>4.8</v>
      </c>
      <c r="O18" s="24" t="s">
        <v>71</v>
      </c>
      <c r="P18" s="24"/>
      <c r="Q18" s="24"/>
      <c r="R18" s="24"/>
      <c r="S18" s="24"/>
      <c r="T18" s="22">
        <v>0.53</v>
      </c>
    </row>
    <row r="19" spans="1:20" x14ac:dyDescent="0.25">
      <c r="A19" s="24" t="s">
        <v>111</v>
      </c>
      <c r="B19" s="24"/>
      <c r="C19" s="24"/>
      <c r="D19" s="24"/>
      <c r="E19" s="24"/>
      <c r="F19" s="21">
        <v>20</v>
      </c>
      <c r="H19" s="24" t="s">
        <v>22</v>
      </c>
      <c r="I19" s="24"/>
      <c r="J19" s="24"/>
      <c r="K19" s="24"/>
      <c r="L19" s="24"/>
      <c r="M19" s="21">
        <v>4.8</v>
      </c>
      <c r="O19" s="24" t="s">
        <v>102</v>
      </c>
      <c r="P19" s="24"/>
      <c r="Q19" s="24"/>
      <c r="R19" s="24"/>
      <c r="S19" s="24"/>
      <c r="T19" s="22">
        <v>0.52</v>
      </c>
    </row>
    <row r="20" spans="1:20" x14ac:dyDescent="0.25">
      <c r="A20" s="24" t="s">
        <v>97</v>
      </c>
      <c r="B20" s="24"/>
      <c r="C20" s="24"/>
      <c r="D20" s="24"/>
      <c r="E20" s="24"/>
      <c r="F20" s="21">
        <v>20</v>
      </c>
      <c r="H20" s="24" t="s">
        <v>47</v>
      </c>
      <c r="I20" s="24"/>
      <c r="J20" s="24"/>
      <c r="K20" s="24"/>
      <c r="L20" s="24"/>
      <c r="M20" s="21">
        <v>4.8</v>
      </c>
      <c r="O20" s="24" t="s">
        <v>198</v>
      </c>
      <c r="P20" s="24"/>
      <c r="Q20" s="24"/>
      <c r="R20" s="24"/>
      <c r="S20" s="24"/>
      <c r="T20" s="22">
        <v>0.52</v>
      </c>
    </row>
  </sheetData>
  <mergeCells count="38">
    <mergeCell ref="A20:E20"/>
    <mergeCell ref="A10:E10"/>
    <mergeCell ref="A11:E11"/>
    <mergeCell ref="A12:E12"/>
    <mergeCell ref="A13:E13"/>
    <mergeCell ref="A14:E14"/>
    <mergeCell ref="A15:E15"/>
    <mergeCell ref="H13:L13"/>
    <mergeCell ref="A16:E16"/>
    <mergeCell ref="A17:E17"/>
    <mergeCell ref="A18:E18"/>
    <mergeCell ref="A19:E19"/>
    <mergeCell ref="H15:L15"/>
    <mergeCell ref="H16:L16"/>
    <mergeCell ref="H17:L17"/>
    <mergeCell ref="H18:L18"/>
    <mergeCell ref="H19:L19"/>
    <mergeCell ref="A1:W2"/>
    <mergeCell ref="A3:W3"/>
    <mergeCell ref="H10:L10"/>
    <mergeCell ref="H11:L11"/>
    <mergeCell ref="H12:L12"/>
    <mergeCell ref="O19:S19"/>
    <mergeCell ref="O20:S20"/>
    <mergeCell ref="A9:F9"/>
    <mergeCell ref="H9:M9"/>
    <mergeCell ref="O9:T9"/>
    <mergeCell ref="H20:L20"/>
    <mergeCell ref="O10:S10"/>
    <mergeCell ref="O11:S11"/>
    <mergeCell ref="O12:S12"/>
    <mergeCell ref="O13:S13"/>
    <mergeCell ref="O14:S14"/>
    <mergeCell ref="O15:S15"/>
    <mergeCell ref="O16:S16"/>
    <mergeCell ref="O17:S17"/>
    <mergeCell ref="O18:S18"/>
    <mergeCell ref="H14:L1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F116"/>
  <sheetViews>
    <sheetView workbookViewId="0"/>
  </sheetViews>
  <sheetFormatPr defaultRowHeight="15" x14ac:dyDescent="0.25"/>
  <cols>
    <col min="1" max="1" width="95.7109375" bestFit="1" customWidth="1"/>
    <col min="2" max="3" width="19.42578125" bestFit="1" customWidth="1"/>
    <col min="4" max="4" width="8.7109375" bestFit="1" customWidth="1"/>
    <col min="5" max="5" width="7.5703125" bestFit="1" customWidth="1"/>
    <col min="6" max="6" width="10.7109375" bestFit="1" customWidth="1"/>
  </cols>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J113"/>
  <sheetViews>
    <sheetView workbookViewId="0"/>
  </sheetViews>
  <sheetFormatPr defaultRowHeight="15" x14ac:dyDescent="0.25"/>
  <cols>
    <col min="1" max="1" width="87.85546875" customWidth="1"/>
    <col min="2" max="3" width="18.28515625" customWidth="1"/>
    <col min="4" max="4" width="8.140625" customWidth="1"/>
    <col min="5" max="5" width="6.85546875" customWidth="1"/>
    <col min="6" max="6" width="10.42578125" customWidth="1"/>
  </cols>
  <sheetData>
    <row r="1" spans="1:10" x14ac:dyDescent="0.25">
      <c r="A1" t="s">
        <v>0</v>
      </c>
      <c r="B1" s="10" t="s">
        <v>1</v>
      </c>
      <c r="C1" s="10" t="s">
        <v>346</v>
      </c>
      <c r="D1" s="10" t="s">
        <v>3</v>
      </c>
      <c r="E1" s="10" t="s">
        <v>4</v>
      </c>
      <c r="F1" s="10" t="s">
        <v>351</v>
      </c>
    </row>
    <row r="2" spans="1:10" x14ac:dyDescent="0.25">
      <c r="A2" t="s">
        <v>6</v>
      </c>
      <c r="B2">
        <v>950</v>
      </c>
      <c r="C2">
        <v>1525</v>
      </c>
      <c r="D2" s="1">
        <v>0.38</v>
      </c>
      <c r="E2">
        <v>2</v>
      </c>
      <c r="F2">
        <v>4.5</v>
      </c>
    </row>
    <row r="3" spans="1:10" x14ac:dyDescent="0.25">
      <c r="A3" t="s">
        <v>10</v>
      </c>
      <c r="B3">
        <v>527</v>
      </c>
      <c r="C3">
        <v>999</v>
      </c>
      <c r="D3" s="1">
        <v>0.47</v>
      </c>
      <c r="E3">
        <v>14</v>
      </c>
      <c r="F3">
        <v>4.0999999999999996</v>
      </c>
    </row>
    <row r="4" spans="1:10" x14ac:dyDescent="0.25">
      <c r="A4" t="s">
        <v>14</v>
      </c>
      <c r="B4">
        <v>2199</v>
      </c>
      <c r="C4">
        <v>2923</v>
      </c>
      <c r="D4" s="1">
        <v>0.25</v>
      </c>
      <c r="E4">
        <v>24</v>
      </c>
      <c r="F4">
        <v>4.5999999999999996</v>
      </c>
      <c r="I4" s="1"/>
      <c r="J4" s="1"/>
    </row>
    <row r="5" spans="1:10" x14ac:dyDescent="0.25">
      <c r="A5" t="s">
        <v>18</v>
      </c>
      <c r="B5">
        <v>1580</v>
      </c>
      <c r="C5">
        <v>2499</v>
      </c>
      <c r="D5" s="1">
        <v>0.37</v>
      </c>
      <c r="E5">
        <v>7</v>
      </c>
      <c r="F5">
        <v>4.7</v>
      </c>
      <c r="I5" s="1"/>
    </row>
    <row r="6" spans="1:10" x14ac:dyDescent="0.25">
      <c r="A6" t="s">
        <v>22</v>
      </c>
      <c r="B6">
        <v>1740</v>
      </c>
      <c r="C6">
        <v>2356</v>
      </c>
      <c r="D6" s="1">
        <v>0.26</v>
      </c>
      <c r="E6">
        <v>5</v>
      </c>
      <c r="F6">
        <v>4.8</v>
      </c>
    </row>
    <row r="7" spans="1:10" x14ac:dyDescent="0.25">
      <c r="A7" t="s">
        <v>26</v>
      </c>
      <c r="B7">
        <v>2999</v>
      </c>
      <c r="C7">
        <v>3290</v>
      </c>
      <c r="D7" s="1">
        <v>0.09</v>
      </c>
      <c r="E7">
        <v>15</v>
      </c>
      <c r="F7">
        <v>4</v>
      </c>
    </row>
    <row r="8" spans="1:10" x14ac:dyDescent="0.25">
      <c r="A8" t="s">
        <v>30</v>
      </c>
      <c r="B8">
        <v>2319</v>
      </c>
      <c r="C8">
        <v>3032</v>
      </c>
      <c r="D8" s="1">
        <v>0.24</v>
      </c>
      <c r="E8">
        <v>55</v>
      </c>
      <c r="F8">
        <v>4.5999999999999996</v>
      </c>
    </row>
    <row r="9" spans="1:10" x14ac:dyDescent="0.25">
      <c r="A9" t="s">
        <v>33</v>
      </c>
      <c r="B9">
        <v>988</v>
      </c>
      <c r="C9">
        <v>1580</v>
      </c>
      <c r="D9" s="1">
        <v>0.37</v>
      </c>
      <c r="E9">
        <v>2</v>
      </c>
      <c r="F9">
        <v>4</v>
      </c>
    </row>
    <row r="10" spans="1:10" x14ac:dyDescent="0.25">
      <c r="A10" t="s">
        <v>35</v>
      </c>
      <c r="B10">
        <v>1274</v>
      </c>
      <c r="C10">
        <v>2800</v>
      </c>
      <c r="D10" s="1">
        <v>0.55000000000000004</v>
      </c>
      <c r="E10">
        <v>5</v>
      </c>
      <c r="F10">
        <v>4.8</v>
      </c>
    </row>
    <row r="11" spans="1:10" x14ac:dyDescent="0.25">
      <c r="A11" t="s">
        <v>38</v>
      </c>
      <c r="B11">
        <v>1600</v>
      </c>
      <c r="C11">
        <v>2929</v>
      </c>
      <c r="D11" s="1">
        <v>0.45</v>
      </c>
      <c r="E11">
        <v>5</v>
      </c>
      <c r="F11">
        <v>3.8</v>
      </c>
    </row>
    <row r="12" spans="1:10" x14ac:dyDescent="0.25">
      <c r="A12" t="s">
        <v>42</v>
      </c>
      <c r="B12">
        <v>799</v>
      </c>
      <c r="C12">
        <v>999</v>
      </c>
      <c r="D12" s="1">
        <v>0.2</v>
      </c>
      <c r="E12">
        <v>12</v>
      </c>
      <c r="F12">
        <v>4.0999999999999996</v>
      </c>
    </row>
    <row r="13" spans="1:10" x14ac:dyDescent="0.25">
      <c r="A13" t="s">
        <v>44</v>
      </c>
      <c r="B13">
        <v>990</v>
      </c>
      <c r="C13">
        <v>1500</v>
      </c>
      <c r="D13" s="1">
        <v>0.34</v>
      </c>
      <c r="E13">
        <v>39</v>
      </c>
      <c r="F13">
        <v>4.7</v>
      </c>
    </row>
    <row r="14" spans="1:10" x14ac:dyDescent="0.25">
      <c r="A14" t="s">
        <v>47</v>
      </c>
      <c r="B14">
        <v>552</v>
      </c>
      <c r="C14">
        <v>1035</v>
      </c>
      <c r="D14" s="1">
        <v>0.47</v>
      </c>
      <c r="E14">
        <v>12</v>
      </c>
      <c r="F14">
        <v>4.8</v>
      </c>
    </row>
    <row r="15" spans="1:10" x14ac:dyDescent="0.25">
      <c r="A15" t="s">
        <v>50</v>
      </c>
      <c r="B15">
        <v>501</v>
      </c>
      <c r="C15">
        <v>860</v>
      </c>
      <c r="D15" s="1">
        <v>0.42</v>
      </c>
      <c r="E15">
        <v>6</v>
      </c>
      <c r="F15">
        <v>4.5</v>
      </c>
    </row>
    <row r="16" spans="1:10" x14ac:dyDescent="0.25">
      <c r="A16" t="s">
        <v>53</v>
      </c>
      <c r="B16">
        <v>1680</v>
      </c>
      <c r="C16">
        <v>2499</v>
      </c>
      <c r="D16" s="1">
        <v>0.33</v>
      </c>
      <c r="E16">
        <v>9</v>
      </c>
      <c r="F16">
        <v>4.2</v>
      </c>
    </row>
    <row r="17" spans="1:6" x14ac:dyDescent="0.25">
      <c r="A17" t="s">
        <v>56</v>
      </c>
      <c r="B17">
        <v>332</v>
      </c>
      <c r="C17">
        <v>684</v>
      </c>
      <c r="D17" s="1">
        <v>0.51</v>
      </c>
      <c r="E17">
        <v>2</v>
      </c>
      <c r="F17">
        <v>5</v>
      </c>
    </row>
    <row r="18" spans="1:6" x14ac:dyDescent="0.25">
      <c r="A18" t="s">
        <v>60</v>
      </c>
      <c r="B18">
        <v>195</v>
      </c>
      <c r="C18">
        <v>360</v>
      </c>
      <c r="D18" s="1">
        <v>0.46</v>
      </c>
      <c r="E18">
        <v>2</v>
      </c>
      <c r="F18">
        <v>5</v>
      </c>
    </row>
    <row r="19" spans="1:6" x14ac:dyDescent="0.25">
      <c r="A19" t="s">
        <v>63</v>
      </c>
      <c r="B19">
        <v>2025</v>
      </c>
      <c r="C19">
        <v>3971</v>
      </c>
      <c r="D19" s="1">
        <v>0.49</v>
      </c>
      <c r="E19">
        <v>3</v>
      </c>
      <c r="F19">
        <v>5</v>
      </c>
    </row>
    <row r="20" spans="1:6" x14ac:dyDescent="0.25">
      <c r="A20" t="s">
        <v>66</v>
      </c>
      <c r="B20">
        <v>2999</v>
      </c>
      <c r="C20">
        <v>3699</v>
      </c>
      <c r="D20" s="1">
        <v>0.19</v>
      </c>
      <c r="E20">
        <v>5</v>
      </c>
      <c r="F20">
        <v>4.5999999999999996</v>
      </c>
    </row>
    <row r="21" spans="1:6" x14ac:dyDescent="0.25">
      <c r="A21" t="s">
        <v>68</v>
      </c>
      <c r="B21">
        <v>998</v>
      </c>
      <c r="C21">
        <v>1966</v>
      </c>
      <c r="D21" s="1">
        <v>0.49</v>
      </c>
      <c r="E21">
        <v>44</v>
      </c>
      <c r="F21">
        <v>4.5999999999999996</v>
      </c>
    </row>
    <row r="22" spans="1:6" x14ac:dyDescent="0.25">
      <c r="A22" t="s">
        <v>71</v>
      </c>
      <c r="B22">
        <v>38</v>
      </c>
      <c r="C22">
        <v>80</v>
      </c>
      <c r="D22" s="1">
        <v>0.53</v>
      </c>
      <c r="E22">
        <v>13</v>
      </c>
      <c r="F22">
        <v>3.3</v>
      </c>
    </row>
    <row r="23" spans="1:6" x14ac:dyDescent="0.25">
      <c r="A23" t="s">
        <v>75</v>
      </c>
      <c r="B23">
        <v>1860</v>
      </c>
      <c r="C23">
        <v>3220</v>
      </c>
      <c r="D23" s="1">
        <v>0.42</v>
      </c>
      <c r="E23">
        <v>0</v>
      </c>
      <c r="F23" t="s">
        <v>352</v>
      </c>
    </row>
    <row r="24" spans="1:6" x14ac:dyDescent="0.25">
      <c r="A24" t="s">
        <v>78</v>
      </c>
      <c r="B24">
        <v>880</v>
      </c>
      <c r="C24">
        <v>1350</v>
      </c>
      <c r="D24" s="1">
        <v>0.35</v>
      </c>
      <c r="E24">
        <v>6</v>
      </c>
      <c r="F24">
        <v>4</v>
      </c>
    </row>
    <row r="25" spans="1:6" x14ac:dyDescent="0.25">
      <c r="A25" t="s">
        <v>81</v>
      </c>
      <c r="B25">
        <v>1650</v>
      </c>
      <c r="C25">
        <v>2150</v>
      </c>
      <c r="D25" s="1">
        <v>0.23</v>
      </c>
      <c r="E25">
        <v>14</v>
      </c>
      <c r="F25">
        <v>4.4000000000000004</v>
      </c>
    </row>
    <row r="26" spans="1:6" x14ac:dyDescent="0.25">
      <c r="A26" t="s">
        <v>85</v>
      </c>
      <c r="B26">
        <v>2048</v>
      </c>
      <c r="C26">
        <v>4500</v>
      </c>
      <c r="D26" s="1">
        <v>0.54</v>
      </c>
      <c r="E26">
        <v>7</v>
      </c>
      <c r="F26">
        <v>4.3</v>
      </c>
    </row>
    <row r="27" spans="1:6" x14ac:dyDescent="0.25">
      <c r="A27" t="s">
        <v>89</v>
      </c>
      <c r="B27">
        <v>420</v>
      </c>
      <c r="C27">
        <v>647</v>
      </c>
      <c r="D27" s="1">
        <v>0.35</v>
      </c>
      <c r="E27">
        <v>49</v>
      </c>
      <c r="F27">
        <v>4.5999999999999996</v>
      </c>
    </row>
    <row r="28" spans="1:6" x14ac:dyDescent="0.25">
      <c r="A28" t="s">
        <v>92</v>
      </c>
      <c r="B28">
        <v>2880</v>
      </c>
      <c r="C28">
        <v>3520</v>
      </c>
      <c r="D28" s="1">
        <v>0.18</v>
      </c>
      <c r="E28">
        <v>12</v>
      </c>
      <c r="F28">
        <v>3.8</v>
      </c>
    </row>
    <row r="29" spans="1:6" x14ac:dyDescent="0.25">
      <c r="A29" t="s">
        <v>95</v>
      </c>
      <c r="B29">
        <v>1350</v>
      </c>
      <c r="C29">
        <v>1990</v>
      </c>
      <c r="D29" s="1">
        <v>0.32</v>
      </c>
      <c r="E29">
        <v>13</v>
      </c>
      <c r="F29">
        <v>3.8</v>
      </c>
    </row>
    <row r="30" spans="1:6" x14ac:dyDescent="0.25">
      <c r="A30" t="s">
        <v>97</v>
      </c>
      <c r="B30">
        <v>1758</v>
      </c>
      <c r="C30">
        <v>2499</v>
      </c>
      <c r="D30" s="1">
        <v>0.3</v>
      </c>
      <c r="E30">
        <v>20</v>
      </c>
      <c r="F30">
        <v>4.0999999999999996</v>
      </c>
    </row>
    <row r="31" spans="1:6" x14ac:dyDescent="0.25">
      <c r="A31" t="s">
        <v>99</v>
      </c>
      <c r="B31">
        <v>2200</v>
      </c>
      <c r="C31">
        <v>4080</v>
      </c>
      <c r="D31" s="1">
        <v>0.46</v>
      </c>
      <c r="E31">
        <v>0</v>
      </c>
      <c r="F31" t="s">
        <v>352</v>
      </c>
    </row>
    <row r="32" spans="1:6" x14ac:dyDescent="0.25">
      <c r="A32" t="s">
        <v>102</v>
      </c>
      <c r="B32">
        <v>185</v>
      </c>
      <c r="C32">
        <v>382</v>
      </c>
      <c r="D32" s="1">
        <v>0.52</v>
      </c>
      <c r="E32">
        <v>9</v>
      </c>
      <c r="F32">
        <v>4.3</v>
      </c>
    </row>
    <row r="33" spans="1:6" x14ac:dyDescent="0.25">
      <c r="A33" t="s">
        <v>105</v>
      </c>
      <c r="B33">
        <v>980</v>
      </c>
      <c r="C33">
        <v>1490</v>
      </c>
      <c r="D33" s="1">
        <v>0.34</v>
      </c>
      <c r="E33">
        <v>12</v>
      </c>
      <c r="F33">
        <v>4.7</v>
      </c>
    </row>
    <row r="34" spans="1:6" x14ac:dyDescent="0.25">
      <c r="A34" t="s">
        <v>108</v>
      </c>
      <c r="B34">
        <v>1820</v>
      </c>
      <c r="C34">
        <v>3490</v>
      </c>
      <c r="D34" s="1">
        <v>0.48</v>
      </c>
      <c r="E34">
        <v>9</v>
      </c>
      <c r="F34">
        <v>4.3</v>
      </c>
    </row>
    <row r="35" spans="1:6" x14ac:dyDescent="0.25">
      <c r="A35" t="s">
        <v>111</v>
      </c>
      <c r="B35">
        <v>1940</v>
      </c>
      <c r="C35">
        <v>2650</v>
      </c>
      <c r="D35" s="1">
        <v>0.27</v>
      </c>
      <c r="E35">
        <v>20</v>
      </c>
      <c r="F35">
        <v>4.7</v>
      </c>
    </row>
    <row r="36" spans="1:6" x14ac:dyDescent="0.25">
      <c r="A36" t="s">
        <v>114</v>
      </c>
      <c r="B36">
        <v>1980</v>
      </c>
      <c r="C36">
        <v>2699</v>
      </c>
      <c r="D36" s="1">
        <v>0.27</v>
      </c>
      <c r="E36">
        <v>32</v>
      </c>
      <c r="F36">
        <v>4.5</v>
      </c>
    </row>
    <row r="37" spans="1:6" x14ac:dyDescent="0.25">
      <c r="A37" t="s">
        <v>117</v>
      </c>
      <c r="B37">
        <v>1620</v>
      </c>
      <c r="C37">
        <v>2690</v>
      </c>
      <c r="D37" s="1">
        <v>0.4</v>
      </c>
      <c r="E37">
        <v>1</v>
      </c>
      <c r="F37">
        <v>5</v>
      </c>
    </row>
    <row r="38" spans="1:6" x14ac:dyDescent="0.25">
      <c r="A38" t="s">
        <v>120</v>
      </c>
      <c r="B38">
        <v>171</v>
      </c>
      <c r="C38">
        <v>360</v>
      </c>
      <c r="D38" s="1">
        <v>0.53</v>
      </c>
      <c r="E38">
        <v>2</v>
      </c>
      <c r="F38">
        <v>5</v>
      </c>
    </row>
    <row r="39" spans="1:6" x14ac:dyDescent="0.25">
      <c r="A39" t="s">
        <v>122</v>
      </c>
      <c r="B39">
        <v>389</v>
      </c>
      <c r="C39">
        <v>656</v>
      </c>
      <c r="D39" s="1">
        <v>0.41</v>
      </c>
      <c r="E39">
        <v>36</v>
      </c>
      <c r="F39">
        <v>4.3</v>
      </c>
    </row>
    <row r="40" spans="1:6" x14ac:dyDescent="0.25">
      <c r="A40" t="s">
        <v>125</v>
      </c>
      <c r="B40">
        <v>1800</v>
      </c>
      <c r="C40">
        <v>2700</v>
      </c>
      <c r="D40" s="1">
        <v>0.38</v>
      </c>
      <c r="E40">
        <v>2</v>
      </c>
      <c r="F40">
        <v>4.5</v>
      </c>
    </row>
    <row r="41" spans="1:6" x14ac:dyDescent="0.25">
      <c r="A41" t="s">
        <v>128</v>
      </c>
      <c r="B41">
        <v>2750</v>
      </c>
      <c r="C41">
        <v>4471</v>
      </c>
      <c r="D41" s="1">
        <v>0.38</v>
      </c>
      <c r="E41">
        <v>0</v>
      </c>
      <c r="F41" t="s">
        <v>352</v>
      </c>
    </row>
    <row r="42" spans="1:6" x14ac:dyDescent="0.25">
      <c r="A42" t="s">
        <v>131</v>
      </c>
      <c r="B42">
        <v>475</v>
      </c>
      <c r="C42">
        <v>931</v>
      </c>
      <c r="D42" s="1">
        <v>0.49</v>
      </c>
      <c r="E42">
        <v>0</v>
      </c>
      <c r="F42" t="s">
        <v>352</v>
      </c>
    </row>
    <row r="43" spans="1:6" x14ac:dyDescent="0.25">
      <c r="A43" t="s">
        <v>134</v>
      </c>
      <c r="B43">
        <v>238</v>
      </c>
      <c r="C43">
        <v>476</v>
      </c>
      <c r="D43" s="1">
        <v>0.5</v>
      </c>
      <c r="E43">
        <v>0</v>
      </c>
      <c r="F43" t="s">
        <v>352</v>
      </c>
    </row>
    <row r="44" spans="1:6" x14ac:dyDescent="0.25">
      <c r="A44" t="s">
        <v>137</v>
      </c>
      <c r="B44">
        <v>610</v>
      </c>
      <c r="C44">
        <v>1060</v>
      </c>
      <c r="D44" s="1">
        <v>0.42</v>
      </c>
      <c r="E44">
        <v>0</v>
      </c>
      <c r="F44" t="s">
        <v>352</v>
      </c>
    </row>
    <row r="45" spans="1:6" x14ac:dyDescent="0.25">
      <c r="A45" t="s">
        <v>140</v>
      </c>
      <c r="B45">
        <v>2132</v>
      </c>
      <c r="C45">
        <v>2169</v>
      </c>
      <c r="D45" s="1">
        <v>0.02</v>
      </c>
      <c r="E45">
        <v>0</v>
      </c>
      <c r="F45" t="s">
        <v>352</v>
      </c>
    </row>
    <row r="46" spans="1:6" x14ac:dyDescent="0.25">
      <c r="A46" t="s">
        <v>143</v>
      </c>
      <c r="B46">
        <v>999</v>
      </c>
      <c r="C46">
        <v>2000</v>
      </c>
      <c r="D46" s="1">
        <v>0.5</v>
      </c>
      <c r="E46">
        <v>0</v>
      </c>
      <c r="F46" t="s">
        <v>352</v>
      </c>
    </row>
    <row r="47" spans="1:6" x14ac:dyDescent="0.25">
      <c r="A47" t="s">
        <v>145</v>
      </c>
      <c r="B47">
        <v>1190</v>
      </c>
      <c r="C47">
        <v>1785</v>
      </c>
      <c r="D47" s="1">
        <v>0.33</v>
      </c>
      <c r="E47">
        <v>0</v>
      </c>
      <c r="F47" t="s">
        <v>352</v>
      </c>
    </row>
    <row r="48" spans="1:6" x14ac:dyDescent="0.25">
      <c r="A48" t="s">
        <v>148</v>
      </c>
      <c r="B48">
        <v>671</v>
      </c>
      <c r="C48">
        <v>1316</v>
      </c>
      <c r="D48" s="1">
        <v>0.49</v>
      </c>
      <c r="E48">
        <v>0</v>
      </c>
      <c r="F48" t="s">
        <v>352</v>
      </c>
    </row>
    <row r="49" spans="1:6" x14ac:dyDescent="0.25">
      <c r="A49" t="s">
        <v>151</v>
      </c>
      <c r="B49">
        <v>1200</v>
      </c>
      <c r="C49">
        <v>1950</v>
      </c>
      <c r="D49" s="1">
        <v>0.38</v>
      </c>
      <c r="E49">
        <v>0</v>
      </c>
      <c r="F49" t="s">
        <v>352</v>
      </c>
    </row>
    <row r="50" spans="1:6" x14ac:dyDescent="0.25">
      <c r="A50" t="s">
        <v>154</v>
      </c>
      <c r="B50">
        <v>199</v>
      </c>
      <c r="C50">
        <v>504</v>
      </c>
      <c r="D50" s="1">
        <v>0.61</v>
      </c>
      <c r="E50">
        <v>0</v>
      </c>
      <c r="F50" t="s">
        <v>352</v>
      </c>
    </row>
    <row r="51" spans="1:6" x14ac:dyDescent="0.25">
      <c r="A51" t="s">
        <v>157</v>
      </c>
      <c r="B51">
        <v>299</v>
      </c>
      <c r="C51">
        <v>600</v>
      </c>
      <c r="D51" s="1">
        <v>0.5</v>
      </c>
      <c r="E51">
        <v>0</v>
      </c>
      <c r="F51" t="s">
        <v>352</v>
      </c>
    </row>
    <row r="52" spans="1:6" x14ac:dyDescent="0.25">
      <c r="A52" t="s">
        <v>160</v>
      </c>
      <c r="B52">
        <v>1660</v>
      </c>
      <c r="C52">
        <v>1699</v>
      </c>
      <c r="D52" s="1">
        <v>0.02</v>
      </c>
      <c r="E52">
        <v>0</v>
      </c>
      <c r="F52" t="s">
        <v>352</v>
      </c>
    </row>
    <row r="53" spans="1:6" x14ac:dyDescent="0.25">
      <c r="A53" t="s">
        <v>163</v>
      </c>
      <c r="B53">
        <v>299</v>
      </c>
      <c r="C53">
        <v>384</v>
      </c>
      <c r="D53" s="1">
        <v>0.22</v>
      </c>
      <c r="E53">
        <v>0</v>
      </c>
      <c r="F53" t="s">
        <v>352</v>
      </c>
    </row>
    <row r="54" spans="1:6" x14ac:dyDescent="0.25">
      <c r="A54" t="s">
        <v>165</v>
      </c>
      <c r="B54">
        <v>1459</v>
      </c>
      <c r="C54">
        <v>1499</v>
      </c>
      <c r="D54" s="1">
        <v>0.03</v>
      </c>
      <c r="E54">
        <v>0</v>
      </c>
      <c r="F54" t="s">
        <v>352</v>
      </c>
    </row>
    <row r="55" spans="1:6" x14ac:dyDescent="0.25">
      <c r="A55" t="s">
        <v>168</v>
      </c>
      <c r="B55">
        <v>799</v>
      </c>
      <c r="C55">
        <v>1343</v>
      </c>
      <c r="D55" s="1">
        <v>0.41</v>
      </c>
      <c r="E55">
        <v>0</v>
      </c>
      <c r="F55" t="s">
        <v>352</v>
      </c>
    </row>
    <row r="56" spans="1:6" x14ac:dyDescent="0.25">
      <c r="A56" t="s">
        <v>170</v>
      </c>
      <c r="B56">
        <v>499</v>
      </c>
      <c r="C56">
        <v>900</v>
      </c>
      <c r="D56" s="1">
        <v>0.45</v>
      </c>
      <c r="E56">
        <v>0</v>
      </c>
      <c r="F56" t="s">
        <v>352</v>
      </c>
    </row>
    <row r="57" spans="1:6" x14ac:dyDescent="0.25">
      <c r="A57" t="s">
        <v>173</v>
      </c>
      <c r="B57">
        <v>699</v>
      </c>
      <c r="C57">
        <v>1343</v>
      </c>
      <c r="D57" s="1">
        <v>0.48</v>
      </c>
      <c r="E57">
        <v>0</v>
      </c>
      <c r="F57" t="s">
        <v>352</v>
      </c>
    </row>
    <row r="58" spans="1:6" x14ac:dyDescent="0.25">
      <c r="A58" t="s">
        <v>175</v>
      </c>
      <c r="B58">
        <v>799</v>
      </c>
      <c r="C58">
        <v>1567</v>
      </c>
      <c r="D58" s="1">
        <v>0.49</v>
      </c>
      <c r="E58">
        <v>0</v>
      </c>
      <c r="F58" t="s">
        <v>352</v>
      </c>
    </row>
    <row r="59" spans="1:6" x14ac:dyDescent="0.25">
      <c r="A59" t="s">
        <v>177</v>
      </c>
      <c r="B59">
        <v>2799</v>
      </c>
      <c r="C59">
        <v>3810</v>
      </c>
      <c r="D59" s="1">
        <v>0.27</v>
      </c>
      <c r="E59">
        <v>0</v>
      </c>
      <c r="F59" t="s">
        <v>352</v>
      </c>
    </row>
    <row r="60" spans="1:6" x14ac:dyDescent="0.25">
      <c r="A60" t="s">
        <v>170</v>
      </c>
      <c r="B60">
        <v>399</v>
      </c>
      <c r="C60">
        <v>896</v>
      </c>
      <c r="D60" s="1">
        <v>0.55000000000000004</v>
      </c>
      <c r="E60">
        <v>0</v>
      </c>
      <c r="F60" t="s">
        <v>352</v>
      </c>
    </row>
    <row r="61" spans="1:6" x14ac:dyDescent="0.25">
      <c r="A61" t="s">
        <v>182</v>
      </c>
      <c r="B61">
        <v>2170</v>
      </c>
      <c r="C61">
        <v>2500</v>
      </c>
      <c r="D61" s="1">
        <v>0.13</v>
      </c>
      <c r="E61">
        <v>6</v>
      </c>
      <c r="F61">
        <v>2.5</v>
      </c>
    </row>
    <row r="62" spans="1:6" x14ac:dyDescent="0.25">
      <c r="A62" t="s">
        <v>186</v>
      </c>
      <c r="B62">
        <v>458</v>
      </c>
      <c r="C62">
        <v>986</v>
      </c>
      <c r="D62" s="1">
        <v>0.54</v>
      </c>
      <c r="E62">
        <v>10</v>
      </c>
      <c r="F62">
        <v>3</v>
      </c>
    </row>
    <row r="63" spans="1:6" x14ac:dyDescent="0.25">
      <c r="A63" t="s">
        <v>190</v>
      </c>
      <c r="B63">
        <v>2115</v>
      </c>
      <c r="C63">
        <v>4700</v>
      </c>
      <c r="D63" s="1">
        <v>0.55000000000000004</v>
      </c>
      <c r="E63">
        <v>13</v>
      </c>
      <c r="F63">
        <v>2.1</v>
      </c>
    </row>
    <row r="64" spans="1:6" x14ac:dyDescent="0.25">
      <c r="A64" t="s">
        <v>194</v>
      </c>
      <c r="B64">
        <v>445</v>
      </c>
      <c r="C64">
        <v>873</v>
      </c>
      <c r="D64" s="1">
        <v>0.49</v>
      </c>
      <c r="E64">
        <v>69</v>
      </c>
      <c r="F64">
        <v>2.8</v>
      </c>
    </row>
    <row r="65" spans="1:6" x14ac:dyDescent="0.25">
      <c r="A65" t="s">
        <v>198</v>
      </c>
      <c r="B65">
        <v>325</v>
      </c>
      <c r="C65">
        <v>680</v>
      </c>
      <c r="D65" s="1">
        <v>0.52</v>
      </c>
      <c r="E65">
        <v>15</v>
      </c>
      <c r="F65">
        <v>2.7</v>
      </c>
    </row>
    <row r="66" spans="1:6" x14ac:dyDescent="0.25">
      <c r="A66" t="s">
        <v>202</v>
      </c>
      <c r="B66">
        <v>1220</v>
      </c>
      <c r="C66">
        <v>1555</v>
      </c>
      <c r="D66" s="1">
        <v>0.22</v>
      </c>
      <c r="E66">
        <v>16</v>
      </c>
      <c r="F66">
        <v>2.9</v>
      </c>
    </row>
    <row r="67" spans="1:6" x14ac:dyDescent="0.25">
      <c r="A67" t="s">
        <v>206</v>
      </c>
      <c r="B67">
        <v>990</v>
      </c>
      <c r="C67">
        <v>1814</v>
      </c>
      <c r="D67" s="1">
        <v>0.45</v>
      </c>
      <c r="E67">
        <v>6</v>
      </c>
      <c r="F67">
        <v>2.2000000000000002</v>
      </c>
    </row>
    <row r="68" spans="1:6" x14ac:dyDescent="0.25">
      <c r="A68" t="s">
        <v>209</v>
      </c>
      <c r="B68">
        <v>1000</v>
      </c>
      <c r="C68">
        <v>2000</v>
      </c>
      <c r="D68" s="1">
        <v>0.5</v>
      </c>
      <c r="E68">
        <v>7</v>
      </c>
      <c r="F68">
        <v>2.2999999999999998</v>
      </c>
    </row>
    <row r="69" spans="1:6" x14ac:dyDescent="0.25">
      <c r="A69" t="s">
        <v>212</v>
      </c>
      <c r="B69">
        <v>3750</v>
      </c>
      <c r="C69">
        <v>6143</v>
      </c>
      <c r="D69" s="1">
        <v>0.39</v>
      </c>
      <c r="E69">
        <v>5</v>
      </c>
      <c r="F69">
        <v>3</v>
      </c>
    </row>
    <row r="70" spans="1:6" x14ac:dyDescent="0.25">
      <c r="A70" t="s">
        <v>215</v>
      </c>
      <c r="B70">
        <v>382</v>
      </c>
      <c r="C70">
        <v>700</v>
      </c>
      <c r="D70" s="1">
        <v>0.45</v>
      </c>
      <c r="E70">
        <v>17</v>
      </c>
      <c r="F70">
        <v>2.6</v>
      </c>
    </row>
    <row r="71" spans="1:6" x14ac:dyDescent="0.25">
      <c r="A71" t="s">
        <v>218</v>
      </c>
      <c r="B71">
        <v>2300</v>
      </c>
      <c r="C71">
        <v>3240</v>
      </c>
      <c r="D71" s="1">
        <v>0.28999999999999998</v>
      </c>
      <c r="E71">
        <v>5</v>
      </c>
      <c r="F71">
        <v>3</v>
      </c>
    </row>
    <row r="72" spans="1:6" x14ac:dyDescent="0.25">
      <c r="A72" t="s">
        <v>221</v>
      </c>
      <c r="B72">
        <v>345</v>
      </c>
      <c r="C72">
        <v>602</v>
      </c>
      <c r="D72" s="1">
        <v>0.43</v>
      </c>
      <c r="E72">
        <v>6</v>
      </c>
      <c r="F72">
        <v>2.2999999999999998</v>
      </c>
    </row>
    <row r="73" spans="1:6" x14ac:dyDescent="0.25">
      <c r="A73" t="s">
        <v>224</v>
      </c>
      <c r="B73">
        <v>509</v>
      </c>
      <c r="C73">
        <v>899</v>
      </c>
      <c r="D73" s="1">
        <v>0.43</v>
      </c>
      <c r="E73">
        <v>5</v>
      </c>
      <c r="F73">
        <v>3</v>
      </c>
    </row>
    <row r="74" spans="1:6" x14ac:dyDescent="0.25">
      <c r="A74" t="s">
        <v>227</v>
      </c>
      <c r="B74">
        <v>968</v>
      </c>
      <c r="C74">
        <v>1814</v>
      </c>
      <c r="D74" s="1">
        <v>0.47</v>
      </c>
      <c r="E74">
        <v>6</v>
      </c>
      <c r="F74">
        <v>2.2000000000000002</v>
      </c>
    </row>
    <row r="75" spans="1:6" x14ac:dyDescent="0.25">
      <c r="A75" t="s">
        <v>229</v>
      </c>
      <c r="B75">
        <v>1570</v>
      </c>
      <c r="C75">
        <v>2988</v>
      </c>
      <c r="D75" s="1">
        <v>0.47</v>
      </c>
      <c r="E75">
        <v>7</v>
      </c>
      <c r="F75">
        <v>2.1</v>
      </c>
    </row>
    <row r="76" spans="1:6" x14ac:dyDescent="0.25">
      <c r="A76" t="s">
        <v>232</v>
      </c>
      <c r="B76">
        <v>790</v>
      </c>
      <c r="C76">
        <v>1485</v>
      </c>
      <c r="D76" s="1">
        <v>0.47</v>
      </c>
      <c r="E76">
        <v>0</v>
      </c>
      <c r="F76" t="s">
        <v>352</v>
      </c>
    </row>
    <row r="77" spans="1:6" x14ac:dyDescent="0.25">
      <c r="A77" t="s">
        <v>235</v>
      </c>
      <c r="B77">
        <v>690</v>
      </c>
      <c r="C77">
        <v>1200</v>
      </c>
      <c r="D77" s="1">
        <v>0.43</v>
      </c>
      <c r="E77">
        <v>0</v>
      </c>
      <c r="F77" t="s">
        <v>352</v>
      </c>
    </row>
    <row r="78" spans="1:6" x14ac:dyDescent="0.25">
      <c r="A78" t="s">
        <v>237</v>
      </c>
      <c r="B78">
        <v>1732</v>
      </c>
      <c r="C78">
        <v>1799</v>
      </c>
      <c r="D78" s="1">
        <v>0.04</v>
      </c>
      <c r="E78">
        <v>0</v>
      </c>
      <c r="F78" t="s">
        <v>352</v>
      </c>
    </row>
    <row r="79" spans="1:6" x14ac:dyDescent="0.25">
      <c r="A79" t="s">
        <v>240</v>
      </c>
      <c r="B79">
        <v>230</v>
      </c>
      <c r="C79">
        <v>450</v>
      </c>
      <c r="D79" s="1">
        <v>0.49</v>
      </c>
      <c r="E79">
        <v>0</v>
      </c>
      <c r="F79" t="s">
        <v>352</v>
      </c>
    </row>
    <row r="80" spans="1:6" x14ac:dyDescent="0.25">
      <c r="A80" t="s">
        <v>243</v>
      </c>
      <c r="B80">
        <v>1189</v>
      </c>
      <c r="C80">
        <v>2199</v>
      </c>
      <c r="D80" s="1">
        <v>0.46</v>
      </c>
      <c r="E80">
        <v>1</v>
      </c>
      <c r="F80">
        <v>3</v>
      </c>
    </row>
    <row r="81" spans="1:6" x14ac:dyDescent="0.25">
      <c r="A81" t="s">
        <v>245</v>
      </c>
      <c r="B81">
        <v>979</v>
      </c>
      <c r="C81">
        <v>1920</v>
      </c>
      <c r="D81" s="1">
        <v>0.49</v>
      </c>
      <c r="E81">
        <v>1</v>
      </c>
      <c r="F81">
        <v>5</v>
      </c>
    </row>
    <row r="82" spans="1:6" x14ac:dyDescent="0.25">
      <c r="A82" t="s">
        <v>248</v>
      </c>
      <c r="B82">
        <v>1460</v>
      </c>
      <c r="C82">
        <v>2290</v>
      </c>
      <c r="D82" s="1">
        <v>0.36</v>
      </c>
      <c r="E82">
        <v>0</v>
      </c>
      <c r="F82" t="s">
        <v>352</v>
      </c>
    </row>
    <row r="83" spans="1:6" x14ac:dyDescent="0.25">
      <c r="A83" t="s">
        <v>251</v>
      </c>
      <c r="B83">
        <v>1666</v>
      </c>
      <c r="C83">
        <v>1699</v>
      </c>
      <c r="D83" s="1">
        <v>0.02</v>
      </c>
      <c r="E83">
        <v>0</v>
      </c>
      <c r="F83" t="s">
        <v>352</v>
      </c>
    </row>
    <row r="84" spans="1:6" x14ac:dyDescent="0.25">
      <c r="A84" t="s">
        <v>253</v>
      </c>
      <c r="B84">
        <v>330</v>
      </c>
      <c r="C84">
        <v>647</v>
      </c>
      <c r="D84" s="1">
        <v>0.49</v>
      </c>
      <c r="E84">
        <v>1</v>
      </c>
      <c r="F84">
        <v>4</v>
      </c>
    </row>
    <row r="85" spans="1:6" x14ac:dyDescent="0.25">
      <c r="A85" t="s">
        <v>154</v>
      </c>
      <c r="B85">
        <v>176</v>
      </c>
      <c r="C85">
        <v>345</v>
      </c>
      <c r="D85" s="1">
        <v>0.49</v>
      </c>
      <c r="E85">
        <v>0</v>
      </c>
      <c r="F85" t="s">
        <v>352</v>
      </c>
    </row>
    <row r="86" spans="1:6" x14ac:dyDescent="0.25">
      <c r="A86" t="s">
        <v>256</v>
      </c>
      <c r="B86">
        <v>1466</v>
      </c>
      <c r="C86">
        <v>1699</v>
      </c>
      <c r="D86" s="1">
        <v>0.14000000000000001</v>
      </c>
      <c r="E86">
        <v>0</v>
      </c>
      <c r="F86" t="s">
        <v>352</v>
      </c>
    </row>
    <row r="87" spans="1:6" x14ac:dyDescent="0.25">
      <c r="A87" t="s">
        <v>258</v>
      </c>
      <c r="B87">
        <v>274</v>
      </c>
      <c r="C87">
        <v>537</v>
      </c>
      <c r="D87" s="1">
        <v>0.49</v>
      </c>
      <c r="E87">
        <v>0</v>
      </c>
      <c r="F87" t="s">
        <v>352</v>
      </c>
    </row>
    <row r="88" spans="1:6" x14ac:dyDescent="0.25">
      <c r="A88" t="s">
        <v>261</v>
      </c>
      <c r="B88">
        <v>799</v>
      </c>
      <c r="C88">
        <v>900</v>
      </c>
      <c r="D88" s="1">
        <v>0.11</v>
      </c>
      <c r="E88">
        <v>0</v>
      </c>
      <c r="F88" t="s">
        <v>352</v>
      </c>
    </row>
    <row r="89" spans="1:6" x14ac:dyDescent="0.25">
      <c r="A89" t="s">
        <v>175</v>
      </c>
      <c r="B89">
        <v>657</v>
      </c>
      <c r="C89">
        <v>1288</v>
      </c>
      <c r="D89" s="1">
        <v>0.49</v>
      </c>
      <c r="E89">
        <v>0</v>
      </c>
      <c r="F89" t="s">
        <v>352</v>
      </c>
    </row>
    <row r="90" spans="1:6" x14ac:dyDescent="0.25">
      <c r="A90" t="s">
        <v>264</v>
      </c>
      <c r="B90">
        <v>1468</v>
      </c>
      <c r="C90">
        <v>1699</v>
      </c>
      <c r="D90" s="1">
        <v>0.14000000000000001</v>
      </c>
      <c r="E90">
        <v>0</v>
      </c>
      <c r="F90" t="s">
        <v>352</v>
      </c>
    </row>
    <row r="91" spans="1:6" x14ac:dyDescent="0.25">
      <c r="A91" t="s">
        <v>266</v>
      </c>
      <c r="B91">
        <v>630</v>
      </c>
      <c r="C91">
        <v>1100</v>
      </c>
      <c r="D91" s="1">
        <v>0.43</v>
      </c>
      <c r="E91">
        <v>0</v>
      </c>
      <c r="F91" t="s">
        <v>352</v>
      </c>
    </row>
    <row r="92" spans="1:6" x14ac:dyDescent="0.25">
      <c r="A92" t="s">
        <v>269</v>
      </c>
      <c r="B92">
        <v>850</v>
      </c>
      <c r="C92">
        <v>1700</v>
      </c>
      <c r="D92" s="1">
        <v>0.5</v>
      </c>
      <c r="E92">
        <v>0</v>
      </c>
      <c r="F92" t="s">
        <v>352</v>
      </c>
    </row>
    <row r="93" spans="1:6" x14ac:dyDescent="0.25">
      <c r="A93" t="s">
        <v>272</v>
      </c>
      <c r="B93">
        <v>1300</v>
      </c>
      <c r="C93">
        <v>2500</v>
      </c>
      <c r="D93" s="1">
        <v>0.48</v>
      </c>
      <c r="E93">
        <v>0</v>
      </c>
      <c r="F93" t="s">
        <v>352</v>
      </c>
    </row>
    <row r="94" spans="1:6" x14ac:dyDescent="0.25">
      <c r="A94" t="s">
        <v>274</v>
      </c>
      <c r="B94">
        <v>105</v>
      </c>
      <c r="C94">
        <v>200</v>
      </c>
      <c r="D94" s="1">
        <v>0.48</v>
      </c>
      <c r="E94">
        <v>0</v>
      </c>
      <c r="F94" t="s">
        <v>352</v>
      </c>
    </row>
    <row r="95" spans="1:6" x14ac:dyDescent="0.25">
      <c r="A95" t="s">
        <v>277</v>
      </c>
      <c r="B95">
        <v>899</v>
      </c>
      <c r="C95">
        <v>1699</v>
      </c>
      <c r="D95" s="1">
        <v>0.47</v>
      </c>
      <c r="E95">
        <v>0</v>
      </c>
      <c r="F95" t="s">
        <v>352</v>
      </c>
    </row>
    <row r="96" spans="1:6" x14ac:dyDescent="0.25">
      <c r="A96" t="s">
        <v>278</v>
      </c>
      <c r="B96">
        <v>1200</v>
      </c>
      <c r="C96">
        <v>2400</v>
      </c>
      <c r="D96" s="1">
        <v>0.5</v>
      </c>
      <c r="E96">
        <v>0</v>
      </c>
      <c r="F96" t="s">
        <v>352</v>
      </c>
    </row>
    <row r="97" spans="1:6" x14ac:dyDescent="0.25">
      <c r="A97" t="s">
        <v>280</v>
      </c>
      <c r="B97">
        <v>1526</v>
      </c>
      <c r="C97">
        <v>1660</v>
      </c>
      <c r="D97" s="1">
        <v>0.08</v>
      </c>
      <c r="E97">
        <v>0</v>
      </c>
      <c r="F97" t="s">
        <v>352</v>
      </c>
    </row>
    <row r="98" spans="1:6" x14ac:dyDescent="0.25">
      <c r="A98" t="s">
        <v>282</v>
      </c>
      <c r="B98">
        <v>1462</v>
      </c>
      <c r="C98">
        <v>1499</v>
      </c>
      <c r="D98" s="1">
        <v>0.02</v>
      </c>
      <c r="E98">
        <v>0</v>
      </c>
      <c r="F98" t="s">
        <v>352</v>
      </c>
    </row>
    <row r="99" spans="1:6" x14ac:dyDescent="0.25">
      <c r="A99" t="s">
        <v>284</v>
      </c>
      <c r="B99">
        <v>248</v>
      </c>
      <c r="C99">
        <v>486</v>
      </c>
      <c r="D99" s="1">
        <v>0.49</v>
      </c>
      <c r="E99">
        <v>0</v>
      </c>
      <c r="F99" t="s">
        <v>352</v>
      </c>
    </row>
    <row r="100" spans="1:6" x14ac:dyDescent="0.25">
      <c r="A100" t="s">
        <v>287</v>
      </c>
      <c r="B100">
        <v>3546</v>
      </c>
      <c r="C100">
        <v>3699</v>
      </c>
      <c r="D100" s="1">
        <v>0.04</v>
      </c>
      <c r="E100">
        <v>0</v>
      </c>
      <c r="F100" t="s">
        <v>352</v>
      </c>
    </row>
    <row r="101" spans="1:6" x14ac:dyDescent="0.25">
      <c r="A101" t="s">
        <v>289</v>
      </c>
      <c r="B101">
        <v>525</v>
      </c>
      <c r="C101">
        <v>1029</v>
      </c>
      <c r="D101" s="1">
        <v>0.49</v>
      </c>
      <c r="E101">
        <v>0</v>
      </c>
      <c r="F101" t="s">
        <v>352</v>
      </c>
    </row>
    <row r="102" spans="1:6" x14ac:dyDescent="0.25">
      <c r="A102" t="s">
        <v>292</v>
      </c>
      <c r="B102">
        <v>1080</v>
      </c>
      <c r="C102">
        <v>1874</v>
      </c>
      <c r="D102" s="1">
        <v>0.42</v>
      </c>
      <c r="E102">
        <v>0</v>
      </c>
      <c r="F102" t="s">
        <v>352</v>
      </c>
    </row>
    <row r="103" spans="1:6" x14ac:dyDescent="0.25">
      <c r="A103" t="s">
        <v>295</v>
      </c>
      <c r="B103">
        <v>3640</v>
      </c>
      <c r="C103">
        <v>4588</v>
      </c>
      <c r="D103" s="1">
        <v>0.21</v>
      </c>
      <c r="E103">
        <v>1</v>
      </c>
      <c r="F103">
        <v>5</v>
      </c>
    </row>
    <row r="104" spans="1:6" x14ac:dyDescent="0.25">
      <c r="A104" t="s">
        <v>298</v>
      </c>
      <c r="B104">
        <v>1420</v>
      </c>
      <c r="C104">
        <v>2420</v>
      </c>
      <c r="D104" s="1">
        <v>0.41</v>
      </c>
      <c r="E104">
        <v>0</v>
      </c>
      <c r="F104" t="s">
        <v>352</v>
      </c>
    </row>
    <row r="105" spans="1:6" x14ac:dyDescent="0.25">
      <c r="A105" t="s">
        <v>301</v>
      </c>
      <c r="B105">
        <v>1875</v>
      </c>
      <c r="C105">
        <v>1899</v>
      </c>
      <c r="D105" s="1">
        <v>0.01</v>
      </c>
      <c r="E105">
        <v>0</v>
      </c>
      <c r="F105" t="s">
        <v>352</v>
      </c>
    </row>
    <row r="106" spans="1:6" x14ac:dyDescent="0.25">
      <c r="A106" t="s">
        <v>304</v>
      </c>
      <c r="B106">
        <v>198</v>
      </c>
      <c r="C106">
        <v>260</v>
      </c>
      <c r="D106" s="1">
        <v>0.24</v>
      </c>
      <c r="E106">
        <v>0</v>
      </c>
      <c r="F106" t="s">
        <v>352</v>
      </c>
    </row>
    <row r="107" spans="1:6" x14ac:dyDescent="0.25">
      <c r="A107" t="s">
        <v>307</v>
      </c>
      <c r="B107">
        <v>1150</v>
      </c>
      <c r="C107">
        <v>1737</v>
      </c>
      <c r="D107" s="1">
        <v>0.34</v>
      </c>
      <c r="E107">
        <v>0</v>
      </c>
      <c r="F107" t="s">
        <v>352</v>
      </c>
    </row>
    <row r="108" spans="1:6" x14ac:dyDescent="0.25">
      <c r="A108" t="s">
        <v>310</v>
      </c>
      <c r="B108">
        <v>1190</v>
      </c>
      <c r="C108">
        <v>1810</v>
      </c>
      <c r="D108" s="1">
        <v>0.34</v>
      </c>
      <c r="E108">
        <v>0</v>
      </c>
      <c r="F108" t="s">
        <v>352</v>
      </c>
    </row>
    <row r="109" spans="1:6" x14ac:dyDescent="0.25">
      <c r="A109" t="s">
        <v>312</v>
      </c>
      <c r="B109">
        <v>1658</v>
      </c>
      <c r="C109">
        <v>1699</v>
      </c>
      <c r="D109" s="1">
        <v>0.02</v>
      </c>
      <c r="E109">
        <v>0</v>
      </c>
      <c r="F109" t="s">
        <v>352</v>
      </c>
    </row>
    <row r="110" spans="1:6" x14ac:dyDescent="0.25">
      <c r="A110" t="s">
        <v>314</v>
      </c>
      <c r="B110">
        <v>1768</v>
      </c>
      <c r="C110">
        <v>1799</v>
      </c>
      <c r="D110" s="1">
        <v>0.02</v>
      </c>
      <c r="E110">
        <v>0</v>
      </c>
      <c r="F110" t="s">
        <v>352</v>
      </c>
    </row>
    <row r="111" spans="1:6" x14ac:dyDescent="0.25">
      <c r="A111" t="s">
        <v>316</v>
      </c>
      <c r="B111">
        <v>199</v>
      </c>
      <c r="C111">
        <v>553</v>
      </c>
      <c r="D111" s="1">
        <v>0.64</v>
      </c>
      <c r="E111">
        <v>0</v>
      </c>
      <c r="F111" t="s">
        <v>352</v>
      </c>
    </row>
    <row r="112" spans="1:6" x14ac:dyDescent="0.25">
      <c r="A112" t="s">
        <v>318</v>
      </c>
      <c r="B112">
        <v>450</v>
      </c>
      <c r="C112">
        <v>900</v>
      </c>
      <c r="D112" s="1">
        <v>0.5</v>
      </c>
      <c r="E112">
        <v>1</v>
      </c>
      <c r="F112">
        <v>2</v>
      </c>
    </row>
    <row r="113" spans="1:6" x14ac:dyDescent="0.25">
      <c r="A113" t="s">
        <v>320</v>
      </c>
      <c r="B113">
        <v>169</v>
      </c>
      <c r="C113">
        <v>320</v>
      </c>
      <c r="D113" s="1">
        <v>0.47</v>
      </c>
      <c r="E113">
        <v>0</v>
      </c>
      <c r="F113" t="s">
        <v>352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A1:F58"/>
  <sheetViews>
    <sheetView topLeftCell="A10" workbookViewId="0">
      <selection activeCell="C35" sqref="C35"/>
    </sheetView>
  </sheetViews>
  <sheetFormatPr defaultColWidth="8.85546875" defaultRowHeight="15" x14ac:dyDescent="0.25"/>
  <cols>
    <col min="1" max="1" width="19.42578125" customWidth="1"/>
    <col min="2" max="2" width="84" customWidth="1"/>
    <col min="3" max="3" width="70.7109375" customWidth="1"/>
    <col min="4" max="4" width="26.5703125" customWidth="1"/>
  </cols>
  <sheetData>
    <row r="1" spans="1:4" x14ac:dyDescent="0.25">
      <c r="A1" s="9" t="s">
        <v>353</v>
      </c>
      <c r="B1" s="9" t="s">
        <v>354</v>
      </c>
      <c r="C1" s="9" t="s">
        <v>355</v>
      </c>
      <c r="D1" s="9" t="s">
        <v>356</v>
      </c>
    </row>
    <row r="2" spans="1:4" x14ac:dyDescent="0.25">
      <c r="A2" s="5" t="s">
        <v>357</v>
      </c>
      <c r="B2" s="5" t="s">
        <v>358</v>
      </c>
      <c r="C2" s="5" t="s">
        <v>359</v>
      </c>
      <c r="D2" s="5" t="s">
        <v>360</v>
      </c>
    </row>
    <row r="3" spans="1:4" x14ac:dyDescent="0.25">
      <c r="A3" s="5" t="s">
        <v>361</v>
      </c>
      <c r="B3" s="5" t="s">
        <v>397</v>
      </c>
      <c r="C3" s="5" t="s">
        <v>362</v>
      </c>
      <c r="D3" s="5" t="s">
        <v>363</v>
      </c>
    </row>
    <row r="4" spans="1:4" x14ac:dyDescent="0.25">
      <c r="A4" s="5" t="s">
        <v>364</v>
      </c>
      <c r="B4" s="5" t="s">
        <v>365</v>
      </c>
      <c r="C4" s="5" t="s">
        <v>398</v>
      </c>
      <c r="D4" s="5" t="s">
        <v>366</v>
      </c>
    </row>
    <row r="5" spans="1:4" x14ac:dyDescent="0.25">
      <c r="A5" s="5" t="s">
        <v>367</v>
      </c>
      <c r="B5" s="5" t="s">
        <v>368</v>
      </c>
      <c r="C5" s="5" t="s">
        <v>369</v>
      </c>
      <c r="D5" s="5" t="s">
        <v>370</v>
      </c>
    </row>
    <row r="6" spans="1:4" x14ac:dyDescent="0.25">
      <c r="A6" s="5" t="s">
        <v>371</v>
      </c>
      <c r="B6" s="5" t="s">
        <v>365</v>
      </c>
      <c r="C6" s="5" t="s">
        <v>399</v>
      </c>
      <c r="D6" s="5" t="s">
        <v>372</v>
      </c>
    </row>
    <row r="7" spans="1:4" x14ac:dyDescent="0.25">
      <c r="A7" s="5" t="s">
        <v>373</v>
      </c>
      <c r="B7" s="5" t="s">
        <v>374</v>
      </c>
      <c r="C7" s="5" t="s">
        <v>375</v>
      </c>
      <c r="D7" s="5" t="s">
        <v>376</v>
      </c>
    </row>
    <row r="8" spans="1:4" x14ac:dyDescent="0.25">
      <c r="A8" s="5" t="s">
        <v>377</v>
      </c>
      <c r="B8" s="5" t="s">
        <v>400</v>
      </c>
      <c r="C8" s="5" t="s">
        <v>378</v>
      </c>
      <c r="D8" s="5" t="s">
        <v>379</v>
      </c>
    </row>
    <row r="9" spans="1:4" x14ac:dyDescent="0.25">
      <c r="A9" s="5" t="s">
        <v>380</v>
      </c>
      <c r="B9" s="5" t="s">
        <v>401</v>
      </c>
      <c r="C9" s="5" t="s">
        <v>381</v>
      </c>
      <c r="D9" s="5" t="s">
        <v>382</v>
      </c>
    </row>
    <row r="10" spans="1:4" x14ac:dyDescent="0.25">
      <c r="A10" s="5" t="s">
        <v>383</v>
      </c>
      <c r="B10" s="8" t="s">
        <v>126</v>
      </c>
      <c r="C10" s="8" t="s">
        <v>384</v>
      </c>
      <c r="D10" s="5" t="s">
        <v>385</v>
      </c>
    </row>
    <row r="11" spans="1:4" x14ac:dyDescent="0.25">
      <c r="A11" s="5" t="s">
        <v>386</v>
      </c>
      <c r="B11" s="5" t="s">
        <v>401</v>
      </c>
      <c r="C11" s="5" t="s">
        <v>381</v>
      </c>
      <c r="D11" s="5" t="s">
        <v>382</v>
      </c>
    </row>
    <row r="12" spans="1:4" x14ac:dyDescent="0.25">
      <c r="A12" s="5" t="s">
        <v>387</v>
      </c>
      <c r="B12" s="8" t="s">
        <v>127</v>
      </c>
      <c r="C12" s="8" t="s">
        <v>388</v>
      </c>
      <c r="D12" s="5" t="s">
        <v>389</v>
      </c>
    </row>
    <row r="13" spans="1:4" x14ac:dyDescent="0.25">
      <c r="A13" s="5" t="s">
        <v>3</v>
      </c>
      <c r="B13" s="5" t="s">
        <v>402</v>
      </c>
      <c r="C13" s="5" t="s">
        <v>390</v>
      </c>
      <c r="D13" s="5" t="s">
        <v>391</v>
      </c>
    </row>
    <row r="14" spans="1:4" x14ac:dyDescent="0.25">
      <c r="A14" s="5" t="s">
        <v>392</v>
      </c>
      <c r="B14" s="8" t="s">
        <v>403</v>
      </c>
      <c r="C14" s="5" t="s">
        <v>404</v>
      </c>
      <c r="D14" s="5" t="s">
        <v>393</v>
      </c>
    </row>
    <row r="15" spans="1:4" x14ac:dyDescent="0.25">
      <c r="A15" s="5" t="s">
        <v>394</v>
      </c>
      <c r="B15" s="5" t="s">
        <v>395</v>
      </c>
      <c r="C15" s="5" t="s">
        <v>405</v>
      </c>
      <c r="D15" s="5" t="s">
        <v>396</v>
      </c>
    </row>
    <row r="18" spans="1:6" x14ac:dyDescent="0.25">
      <c r="A18" s="16" t="s">
        <v>415</v>
      </c>
      <c r="B18" s="2" t="s">
        <v>416</v>
      </c>
    </row>
    <row r="19" spans="1:6" x14ac:dyDescent="0.25">
      <c r="A19" s="3" t="s">
        <v>406</v>
      </c>
      <c r="B19" s="3" t="s">
        <v>417</v>
      </c>
    </row>
    <row r="20" spans="1:6" x14ac:dyDescent="0.25">
      <c r="A20" s="3" t="s">
        <v>407</v>
      </c>
      <c r="B20" s="3" t="s">
        <v>418</v>
      </c>
    </row>
    <row r="21" spans="1:6" x14ac:dyDescent="0.25">
      <c r="A21" s="3" t="s">
        <v>408</v>
      </c>
      <c r="B21" s="3" t="s">
        <v>419</v>
      </c>
    </row>
    <row r="22" spans="1:6" x14ac:dyDescent="0.25">
      <c r="A22" s="3" t="s">
        <v>409</v>
      </c>
      <c r="B22" s="3" t="s">
        <v>420</v>
      </c>
    </row>
    <row r="24" spans="1:6" x14ac:dyDescent="0.25">
      <c r="B24" t="s">
        <v>410</v>
      </c>
      <c r="C24" t="s">
        <v>411</v>
      </c>
      <c r="D24" t="s">
        <v>412</v>
      </c>
      <c r="E24" t="s">
        <v>413</v>
      </c>
      <c r="F24" t="s">
        <v>414</v>
      </c>
    </row>
    <row r="25" spans="1:6" x14ac:dyDescent="0.25">
      <c r="B25">
        <f>MIN(Enrichment!B2:B113)</f>
        <v>38</v>
      </c>
      <c r="C25">
        <f>_xlfn.QUARTILE.INC(Enrichment!B2:B113,1)</f>
        <v>493</v>
      </c>
      <c r="D25">
        <f>MEDIAN(Enrichment!B2:B113)</f>
        <v>998.5</v>
      </c>
      <c r="E25">
        <f>_xlfn.QUARTILE.INC(Enrichment!B2:B113,3)</f>
        <v>1669.5</v>
      </c>
      <c r="F25">
        <f>MAX(Enrichment!B2:B113)</f>
        <v>3750</v>
      </c>
    </row>
    <row r="26" spans="1:6" x14ac:dyDescent="0.25">
      <c r="A26" s="16" t="s">
        <v>421</v>
      </c>
      <c r="B26" s="2" t="s">
        <v>416</v>
      </c>
    </row>
    <row r="27" spans="1:6" x14ac:dyDescent="0.25">
      <c r="A27" s="3" t="s">
        <v>422</v>
      </c>
      <c r="B27" s="3" t="s">
        <v>423</v>
      </c>
    </row>
    <row r="28" spans="1:6" x14ac:dyDescent="0.25">
      <c r="A28" s="3" t="s">
        <v>424</v>
      </c>
      <c r="B28" s="3" t="s">
        <v>425</v>
      </c>
    </row>
    <row r="29" spans="1:6" x14ac:dyDescent="0.25">
      <c r="A29" s="3" t="s">
        <v>426</v>
      </c>
      <c r="B29" s="3" t="s">
        <v>427</v>
      </c>
    </row>
    <row r="32" spans="1:6" x14ac:dyDescent="0.25">
      <c r="A32" s="16" t="s">
        <v>428</v>
      </c>
      <c r="B32" s="11" t="s">
        <v>429</v>
      </c>
    </row>
    <row r="33" spans="1:2" x14ac:dyDescent="0.25">
      <c r="A33" s="3" t="s">
        <v>430</v>
      </c>
      <c r="B33" s="12">
        <v>12</v>
      </c>
    </row>
    <row r="34" spans="1:2" x14ac:dyDescent="0.25">
      <c r="A34" s="3" t="s">
        <v>431</v>
      </c>
      <c r="B34" s="12">
        <v>13</v>
      </c>
    </row>
    <row r="35" spans="1:2" x14ac:dyDescent="0.25">
      <c r="A35" s="3" t="s">
        <v>432</v>
      </c>
      <c r="B35" s="12">
        <v>13</v>
      </c>
    </row>
    <row r="36" spans="1:2" x14ac:dyDescent="0.25">
      <c r="A36" s="3" t="s">
        <v>433</v>
      </c>
      <c r="B36" s="12">
        <v>19</v>
      </c>
    </row>
    <row r="37" spans="1:2" x14ac:dyDescent="0.25">
      <c r="A37" s="3" t="s">
        <v>434</v>
      </c>
      <c r="B37" s="12">
        <v>55</v>
      </c>
    </row>
    <row r="38" spans="1:2" ht="30" x14ac:dyDescent="0.25">
      <c r="A38" s="6" t="s">
        <v>435</v>
      </c>
      <c r="B38" s="12">
        <v>112</v>
      </c>
    </row>
    <row r="39" spans="1:2" x14ac:dyDescent="0.25">
      <c r="A39" s="3" t="s">
        <v>436</v>
      </c>
      <c r="B39" s="12">
        <v>18</v>
      </c>
    </row>
    <row r="40" spans="1:2" x14ac:dyDescent="0.25">
      <c r="A40" s="3" t="s">
        <v>437</v>
      </c>
      <c r="B40" s="12">
        <v>32</v>
      </c>
    </row>
    <row r="41" spans="1:2" x14ac:dyDescent="0.25">
      <c r="A41" s="3" t="s">
        <v>438</v>
      </c>
      <c r="B41" s="12">
        <v>62</v>
      </c>
    </row>
    <row r="42" spans="1:2" ht="30" x14ac:dyDescent="0.25">
      <c r="A42" s="6" t="s">
        <v>439</v>
      </c>
      <c r="B42" s="12">
        <v>112</v>
      </c>
    </row>
    <row r="43" spans="1:2" x14ac:dyDescent="0.25">
      <c r="A43" s="3" t="s">
        <v>440</v>
      </c>
      <c r="B43" s="12">
        <v>28</v>
      </c>
    </row>
    <row r="44" spans="1:2" x14ac:dyDescent="0.25">
      <c r="A44" s="3" t="s">
        <v>441</v>
      </c>
      <c r="B44" s="12">
        <v>56</v>
      </c>
    </row>
    <row r="45" spans="1:2" x14ac:dyDescent="0.25">
      <c r="A45" s="3" t="s">
        <v>442</v>
      </c>
      <c r="B45" s="12">
        <v>28</v>
      </c>
    </row>
    <row r="46" spans="1:2" ht="30" x14ac:dyDescent="0.25">
      <c r="A46" s="6" t="s">
        <v>443</v>
      </c>
      <c r="B46" s="12">
        <v>112</v>
      </c>
    </row>
    <row r="50" spans="1:2" x14ac:dyDescent="0.25">
      <c r="A50" s="2" t="s">
        <v>452</v>
      </c>
      <c r="B50" s="11" t="s">
        <v>429</v>
      </c>
    </row>
    <row r="51" spans="1:2" ht="30" x14ac:dyDescent="0.25">
      <c r="A51" s="3" t="s">
        <v>444</v>
      </c>
      <c r="B51" s="12" t="s">
        <v>453</v>
      </c>
    </row>
    <row r="52" spans="1:2" x14ac:dyDescent="0.25">
      <c r="A52" s="3" t="s">
        <v>445</v>
      </c>
      <c r="B52" s="12" t="s">
        <v>454</v>
      </c>
    </row>
    <row r="53" spans="1:2" x14ac:dyDescent="0.25">
      <c r="A53" s="3" t="s">
        <v>446</v>
      </c>
      <c r="B53" s="13">
        <v>0.37</v>
      </c>
    </row>
    <row r="54" spans="1:2" x14ac:dyDescent="0.25">
      <c r="A54" s="3" t="s">
        <v>447</v>
      </c>
      <c r="B54" s="12" t="s">
        <v>455</v>
      </c>
    </row>
    <row r="55" spans="1:2" x14ac:dyDescent="0.25">
      <c r="A55" s="3" t="s">
        <v>448</v>
      </c>
      <c r="B55" s="12">
        <v>112</v>
      </c>
    </row>
    <row r="56" spans="1:2" x14ac:dyDescent="0.25">
      <c r="A56" s="3" t="s">
        <v>449</v>
      </c>
      <c r="B56" s="12">
        <v>723</v>
      </c>
    </row>
    <row r="57" spans="1:2" x14ac:dyDescent="0.25">
      <c r="A57" s="3" t="s">
        <v>456</v>
      </c>
      <c r="B57" s="12" t="s">
        <v>458</v>
      </c>
    </row>
    <row r="58" spans="1:2" x14ac:dyDescent="0.25">
      <c r="A58" s="3" t="s">
        <v>457</v>
      </c>
      <c r="B58" s="12" t="s">
        <v>459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249977111117893"/>
  </sheetPr>
  <dimension ref="A1:C17"/>
  <sheetViews>
    <sheetView workbookViewId="0">
      <selection activeCell="B15" sqref="B15"/>
    </sheetView>
  </sheetViews>
  <sheetFormatPr defaultRowHeight="15" x14ac:dyDescent="0.25"/>
  <cols>
    <col min="1" max="1" width="23.42578125" customWidth="1"/>
    <col min="2" max="2" width="101.7109375" customWidth="1"/>
    <col min="3" max="3" width="37.28515625" customWidth="1"/>
  </cols>
  <sheetData>
    <row r="1" spans="1:3" x14ac:dyDescent="0.25">
      <c r="A1" s="4" t="s">
        <v>323</v>
      </c>
      <c r="B1" s="4" t="s">
        <v>338</v>
      </c>
    </row>
    <row r="2" spans="1:3" x14ac:dyDescent="0.25">
      <c r="A2" s="5" t="s">
        <v>324</v>
      </c>
      <c r="B2" s="5" t="s">
        <v>325</v>
      </c>
    </row>
    <row r="3" spans="1:3" x14ac:dyDescent="0.25">
      <c r="A3" s="5" t="s">
        <v>326</v>
      </c>
      <c r="B3" s="5" t="s">
        <v>327</v>
      </c>
    </row>
    <row r="4" spans="1:3" x14ac:dyDescent="0.25">
      <c r="A4" s="5" t="s">
        <v>328</v>
      </c>
      <c r="B4" s="5" t="s">
        <v>329</v>
      </c>
    </row>
    <row r="5" spans="1:3" x14ac:dyDescent="0.25">
      <c r="A5" s="5" t="s">
        <v>330</v>
      </c>
      <c r="B5" s="5" t="s">
        <v>331</v>
      </c>
    </row>
    <row r="6" spans="1:3" x14ac:dyDescent="0.25">
      <c r="A6" s="5" t="s">
        <v>332</v>
      </c>
      <c r="B6" s="5" t="s">
        <v>333</v>
      </c>
    </row>
    <row r="7" spans="1:3" x14ac:dyDescent="0.25">
      <c r="A7" s="5" t="s">
        <v>334</v>
      </c>
      <c r="B7" s="5" t="s">
        <v>335</v>
      </c>
    </row>
    <row r="8" spans="1:3" x14ac:dyDescent="0.25">
      <c r="A8" s="5" t="s">
        <v>336</v>
      </c>
      <c r="B8" s="5" t="s">
        <v>337</v>
      </c>
    </row>
    <row r="11" spans="1:3" x14ac:dyDescent="0.25">
      <c r="A11" s="4" t="s">
        <v>339</v>
      </c>
      <c r="B11" s="4" t="s">
        <v>340</v>
      </c>
      <c r="C11" s="4" t="s">
        <v>341</v>
      </c>
    </row>
    <row r="12" spans="1:3" x14ac:dyDescent="0.25">
      <c r="A12" s="5" t="s">
        <v>0</v>
      </c>
      <c r="B12" s="5" t="s">
        <v>342</v>
      </c>
      <c r="C12" s="5" t="s">
        <v>343</v>
      </c>
    </row>
    <row r="13" spans="1:3" x14ac:dyDescent="0.25">
      <c r="A13" s="5" t="s">
        <v>1</v>
      </c>
      <c r="B13" s="5" t="s">
        <v>344</v>
      </c>
      <c r="C13" s="5" t="s">
        <v>345</v>
      </c>
    </row>
    <row r="14" spans="1:3" x14ac:dyDescent="0.25">
      <c r="A14" s="5" t="s">
        <v>346</v>
      </c>
      <c r="B14" s="5" t="s">
        <v>344</v>
      </c>
      <c r="C14" s="5" t="s">
        <v>345</v>
      </c>
    </row>
    <row r="15" spans="1:3" x14ac:dyDescent="0.25">
      <c r="A15" s="5" t="s">
        <v>3</v>
      </c>
      <c r="B15" s="7" t="s">
        <v>347</v>
      </c>
      <c r="C15" s="5" t="s">
        <v>348</v>
      </c>
    </row>
    <row r="16" spans="1:3" x14ac:dyDescent="0.25">
      <c r="A16" s="5" t="s">
        <v>4</v>
      </c>
      <c r="B16" s="5" t="s">
        <v>344</v>
      </c>
      <c r="C16" s="5" t="s">
        <v>349</v>
      </c>
    </row>
    <row r="17" spans="1:3" x14ac:dyDescent="0.25">
      <c r="A17" s="5" t="s">
        <v>5</v>
      </c>
      <c r="B17" s="5" t="s">
        <v>344</v>
      </c>
      <c r="C17" s="5" t="s">
        <v>350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K113"/>
  <sheetViews>
    <sheetView workbookViewId="0">
      <selection activeCell="J3" sqref="J3"/>
    </sheetView>
  </sheetViews>
  <sheetFormatPr defaultRowHeight="15" x14ac:dyDescent="0.25"/>
  <cols>
    <col min="1" max="1" width="87.85546875" customWidth="1"/>
    <col min="2" max="3" width="18.28515625" customWidth="1"/>
    <col min="4" max="4" width="8.140625" customWidth="1"/>
    <col min="5" max="5" width="6.85546875" customWidth="1"/>
    <col min="6" max="6" width="10.42578125" customWidth="1"/>
    <col min="9" max="9" width="20.7109375" customWidth="1"/>
    <col min="11" max="11" width="64.85546875" customWidth="1"/>
  </cols>
  <sheetData>
    <row r="1" spans="1:11" x14ac:dyDescent="0.25">
      <c r="A1" s="10" t="s">
        <v>0</v>
      </c>
      <c r="B1" s="10" t="s">
        <v>1</v>
      </c>
      <c r="C1" s="10" t="s">
        <v>346</v>
      </c>
      <c r="D1" s="10" t="s">
        <v>3</v>
      </c>
      <c r="E1" s="10" t="s">
        <v>4</v>
      </c>
      <c r="F1" s="10" t="s">
        <v>351</v>
      </c>
    </row>
    <row r="2" spans="1:11" x14ac:dyDescent="0.25">
      <c r="A2" t="s">
        <v>6</v>
      </c>
      <c r="B2">
        <v>950</v>
      </c>
      <c r="C2">
        <v>1525</v>
      </c>
      <c r="D2" s="1">
        <v>0.38</v>
      </c>
      <c r="E2">
        <v>2</v>
      </c>
      <c r="F2">
        <v>4.5</v>
      </c>
      <c r="I2" t="s">
        <v>444</v>
      </c>
      <c r="J2" s="23">
        <f>AVERAGE(B2:B113)</f>
        <v>1186.8928571428571</v>
      </c>
    </row>
    <row r="3" spans="1:11" x14ac:dyDescent="0.25">
      <c r="A3" t="s">
        <v>10</v>
      </c>
      <c r="B3">
        <v>527</v>
      </c>
      <c r="C3">
        <v>999</v>
      </c>
      <c r="D3" s="1">
        <v>0.47</v>
      </c>
      <c r="E3">
        <v>14</v>
      </c>
      <c r="F3">
        <v>4.0999999999999996</v>
      </c>
      <c r="I3" t="s">
        <v>445</v>
      </c>
      <c r="J3" s="23">
        <f>AVERAGE(C2:C113)</f>
        <v>1811.1071428571429</v>
      </c>
    </row>
    <row r="4" spans="1:11" x14ac:dyDescent="0.25">
      <c r="A4" t="s">
        <v>14</v>
      </c>
      <c r="B4">
        <v>2199</v>
      </c>
      <c r="C4">
        <v>2923</v>
      </c>
      <c r="D4" s="1">
        <v>0.25</v>
      </c>
      <c r="E4">
        <v>24</v>
      </c>
      <c r="F4">
        <v>4.5999999999999996</v>
      </c>
      <c r="I4" t="s">
        <v>446</v>
      </c>
      <c r="J4" s="1">
        <f>AVERAGE(D2:D113)</f>
        <v>0.36776785714285715</v>
      </c>
    </row>
    <row r="5" spans="1:11" x14ac:dyDescent="0.25">
      <c r="A5" t="s">
        <v>18</v>
      </c>
      <c r="B5">
        <v>1580</v>
      </c>
      <c r="C5">
        <v>2499</v>
      </c>
      <c r="D5" s="1">
        <v>0.37</v>
      </c>
      <c r="E5">
        <v>7</v>
      </c>
      <c r="F5">
        <v>4.7</v>
      </c>
      <c r="I5" t="s">
        <v>447</v>
      </c>
      <c r="J5" s="17">
        <f>AVERAGE(F2:F113)</f>
        <v>3.8894736842105258</v>
      </c>
    </row>
    <row r="6" spans="1:11" x14ac:dyDescent="0.25">
      <c r="A6" t="s">
        <v>22</v>
      </c>
      <c r="B6">
        <v>1740</v>
      </c>
      <c r="C6">
        <v>2356</v>
      </c>
      <c r="D6" s="1">
        <v>0.26</v>
      </c>
      <c r="E6">
        <v>5</v>
      </c>
      <c r="F6">
        <v>4.8</v>
      </c>
      <c r="I6" t="s">
        <v>448</v>
      </c>
      <c r="J6">
        <f>COUNTA(A2:A113)</f>
        <v>112</v>
      </c>
    </row>
    <row r="7" spans="1:11" x14ac:dyDescent="0.25">
      <c r="A7" t="s">
        <v>26</v>
      </c>
      <c r="B7">
        <v>2999</v>
      </c>
      <c r="C7">
        <v>3290</v>
      </c>
      <c r="D7" s="1">
        <v>0.09</v>
      </c>
      <c r="E7">
        <v>15</v>
      </c>
      <c r="F7">
        <v>4</v>
      </c>
      <c r="I7" t="s">
        <v>449</v>
      </c>
      <c r="J7">
        <f>SUM(E2:E113)</f>
        <v>723</v>
      </c>
    </row>
    <row r="8" spans="1:11" x14ac:dyDescent="0.25">
      <c r="A8" t="s">
        <v>30</v>
      </c>
      <c r="B8">
        <v>2319</v>
      </c>
      <c r="C8">
        <v>3032</v>
      </c>
      <c r="D8" s="1">
        <v>0.24</v>
      </c>
      <c r="E8">
        <v>55</v>
      </c>
      <c r="F8">
        <v>4.5999999999999996</v>
      </c>
      <c r="I8" t="s">
        <v>450</v>
      </c>
      <c r="J8">
        <f>MAX(B2:B113)</f>
        <v>3750</v>
      </c>
      <c r="K8" t="str">
        <f>INDEX(A2:A113,MATCH(MAX(B2:B113),B2:B113,0))</f>
        <v>32PCS Portable Cordless Drill Set With Cyclic Battery Drive -26 Variable Speed</v>
      </c>
    </row>
    <row r="9" spans="1:11" x14ac:dyDescent="0.25">
      <c r="A9" t="s">
        <v>33</v>
      </c>
      <c r="B9">
        <v>988</v>
      </c>
      <c r="C9">
        <v>1580</v>
      </c>
      <c r="D9" s="1">
        <v>0.37</v>
      </c>
      <c r="E9">
        <v>2</v>
      </c>
      <c r="F9">
        <v>4</v>
      </c>
      <c r="I9" t="s">
        <v>451</v>
      </c>
      <c r="J9">
        <f>MIN(B2:B113)</f>
        <v>38</v>
      </c>
      <c r="K9" t="str">
        <f>INDEX(A2:A113,MATCH(MIN(B2:B113),B2:B113,0))</f>
        <v>3PCS Single Head Knitting Crochet Sweater Needle Set</v>
      </c>
    </row>
    <row r="10" spans="1:11" x14ac:dyDescent="0.25">
      <c r="A10" t="s">
        <v>35</v>
      </c>
      <c r="B10">
        <v>1274</v>
      </c>
      <c r="C10">
        <v>2800</v>
      </c>
      <c r="D10" s="1">
        <v>0.55000000000000004</v>
      </c>
      <c r="E10">
        <v>5</v>
      </c>
      <c r="F10">
        <v>4.8</v>
      </c>
    </row>
    <row r="11" spans="1:11" x14ac:dyDescent="0.25">
      <c r="A11" t="s">
        <v>38</v>
      </c>
      <c r="B11">
        <v>1600</v>
      </c>
      <c r="C11">
        <v>2929</v>
      </c>
      <c r="D11" s="1">
        <v>0.45</v>
      </c>
      <c r="E11">
        <v>5</v>
      </c>
      <c r="F11">
        <v>3.8</v>
      </c>
    </row>
    <row r="12" spans="1:11" x14ac:dyDescent="0.25">
      <c r="A12" t="s">
        <v>42</v>
      </c>
      <c r="B12">
        <v>799</v>
      </c>
      <c r="C12">
        <v>999</v>
      </c>
      <c r="D12" s="1">
        <v>0.2</v>
      </c>
      <c r="E12">
        <v>12</v>
      </c>
      <c r="F12">
        <v>4.0999999999999996</v>
      </c>
    </row>
    <row r="13" spans="1:11" x14ac:dyDescent="0.25">
      <c r="A13" t="s">
        <v>44</v>
      </c>
      <c r="B13">
        <v>990</v>
      </c>
      <c r="C13">
        <v>1500</v>
      </c>
      <c r="D13" s="1">
        <v>0.34</v>
      </c>
      <c r="E13">
        <v>39</v>
      </c>
      <c r="F13">
        <v>4.7</v>
      </c>
    </row>
    <row r="14" spans="1:11" x14ac:dyDescent="0.25">
      <c r="A14" t="s">
        <v>47</v>
      </c>
      <c r="B14">
        <v>552</v>
      </c>
      <c r="C14">
        <v>1035</v>
      </c>
      <c r="D14" s="1">
        <v>0.47</v>
      </c>
      <c r="E14">
        <v>12</v>
      </c>
      <c r="F14">
        <v>4.8</v>
      </c>
    </row>
    <row r="15" spans="1:11" x14ac:dyDescent="0.25">
      <c r="A15" t="s">
        <v>50</v>
      </c>
      <c r="B15">
        <v>501</v>
      </c>
      <c r="C15">
        <v>860</v>
      </c>
      <c r="D15" s="1">
        <v>0.42</v>
      </c>
      <c r="E15">
        <v>6</v>
      </c>
      <c r="F15">
        <v>4.5</v>
      </c>
    </row>
    <row r="16" spans="1:11" x14ac:dyDescent="0.25">
      <c r="A16" t="s">
        <v>53</v>
      </c>
      <c r="B16">
        <v>1680</v>
      </c>
      <c r="C16">
        <v>2499</v>
      </c>
      <c r="D16" s="1">
        <v>0.33</v>
      </c>
      <c r="E16">
        <v>9</v>
      </c>
      <c r="F16">
        <v>4.2</v>
      </c>
    </row>
    <row r="17" spans="1:6" x14ac:dyDescent="0.25">
      <c r="A17" t="s">
        <v>56</v>
      </c>
      <c r="B17">
        <v>332</v>
      </c>
      <c r="C17">
        <v>684</v>
      </c>
      <c r="D17" s="1">
        <v>0.51</v>
      </c>
      <c r="E17">
        <v>2</v>
      </c>
      <c r="F17">
        <v>5</v>
      </c>
    </row>
    <row r="18" spans="1:6" x14ac:dyDescent="0.25">
      <c r="A18" t="s">
        <v>60</v>
      </c>
      <c r="B18">
        <v>195</v>
      </c>
      <c r="C18">
        <v>360</v>
      </c>
      <c r="D18" s="1">
        <v>0.46</v>
      </c>
      <c r="E18">
        <v>2</v>
      </c>
      <c r="F18">
        <v>5</v>
      </c>
    </row>
    <row r="19" spans="1:6" x14ac:dyDescent="0.25">
      <c r="A19" t="s">
        <v>63</v>
      </c>
      <c r="B19">
        <v>2025</v>
      </c>
      <c r="C19">
        <v>3971</v>
      </c>
      <c r="D19" s="1">
        <v>0.49</v>
      </c>
      <c r="E19">
        <v>3</v>
      </c>
      <c r="F19">
        <v>5</v>
      </c>
    </row>
    <row r="20" spans="1:6" x14ac:dyDescent="0.25">
      <c r="A20" t="s">
        <v>66</v>
      </c>
      <c r="B20">
        <v>2999</v>
      </c>
      <c r="C20">
        <v>3699</v>
      </c>
      <c r="D20" s="1">
        <v>0.19</v>
      </c>
      <c r="E20">
        <v>5</v>
      </c>
      <c r="F20">
        <v>4.5999999999999996</v>
      </c>
    </row>
    <row r="21" spans="1:6" x14ac:dyDescent="0.25">
      <c r="A21" t="s">
        <v>68</v>
      </c>
      <c r="B21">
        <v>998</v>
      </c>
      <c r="C21">
        <v>1966</v>
      </c>
      <c r="D21" s="1">
        <v>0.49</v>
      </c>
      <c r="E21">
        <v>44</v>
      </c>
      <c r="F21">
        <v>4.5999999999999996</v>
      </c>
    </row>
    <row r="22" spans="1:6" x14ac:dyDescent="0.25">
      <c r="A22" t="s">
        <v>71</v>
      </c>
      <c r="B22">
        <v>38</v>
      </c>
      <c r="C22">
        <v>80</v>
      </c>
      <c r="D22" s="1">
        <v>0.53</v>
      </c>
      <c r="E22">
        <v>13</v>
      </c>
      <c r="F22">
        <v>3.3</v>
      </c>
    </row>
    <row r="23" spans="1:6" x14ac:dyDescent="0.25">
      <c r="A23" t="s">
        <v>75</v>
      </c>
      <c r="B23">
        <v>1860</v>
      </c>
      <c r="C23">
        <v>3220</v>
      </c>
      <c r="D23" s="1">
        <v>0.42</v>
      </c>
      <c r="E23">
        <v>0</v>
      </c>
      <c r="F23" t="s">
        <v>352</v>
      </c>
    </row>
    <row r="24" spans="1:6" x14ac:dyDescent="0.25">
      <c r="A24" t="s">
        <v>78</v>
      </c>
      <c r="B24">
        <v>880</v>
      </c>
      <c r="C24">
        <v>1350</v>
      </c>
      <c r="D24" s="1">
        <v>0.35</v>
      </c>
      <c r="E24">
        <v>6</v>
      </c>
      <c r="F24">
        <v>4</v>
      </c>
    </row>
    <row r="25" spans="1:6" x14ac:dyDescent="0.25">
      <c r="A25" t="s">
        <v>81</v>
      </c>
      <c r="B25">
        <v>1650</v>
      </c>
      <c r="C25">
        <v>2150</v>
      </c>
      <c r="D25" s="1">
        <v>0.23</v>
      </c>
      <c r="E25">
        <v>14</v>
      </c>
      <c r="F25">
        <v>4.4000000000000004</v>
      </c>
    </row>
    <row r="26" spans="1:6" x14ac:dyDescent="0.25">
      <c r="A26" t="s">
        <v>85</v>
      </c>
      <c r="B26">
        <v>2048</v>
      </c>
      <c r="C26">
        <v>4500</v>
      </c>
      <c r="D26" s="1">
        <v>0.54</v>
      </c>
      <c r="E26">
        <v>7</v>
      </c>
      <c r="F26">
        <v>4.3</v>
      </c>
    </row>
    <row r="27" spans="1:6" x14ac:dyDescent="0.25">
      <c r="A27" t="s">
        <v>89</v>
      </c>
      <c r="B27">
        <v>420</v>
      </c>
      <c r="C27">
        <v>647</v>
      </c>
      <c r="D27" s="1">
        <v>0.35</v>
      </c>
      <c r="E27">
        <v>49</v>
      </c>
      <c r="F27">
        <v>4.5999999999999996</v>
      </c>
    </row>
    <row r="28" spans="1:6" x14ac:dyDescent="0.25">
      <c r="A28" t="s">
        <v>92</v>
      </c>
      <c r="B28">
        <v>2880</v>
      </c>
      <c r="C28">
        <v>3520</v>
      </c>
      <c r="D28" s="1">
        <v>0.18</v>
      </c>
      <c r="E28">
        <v>12</v>
      </c>
      <c r="F28">
        <v>3.8</v>
      </c>
    </row>
    <row r="29" spans="1:6" x14ac:dyDescent="0.25">
      <c r="A29" t="s">
        <v>95</v>
      </c>
      <c r="B29">
        <v>1350</v>
      </c>
      <c r="C29">
        <v>1990</v>
      </c>
      <c r="D29" s="1">
        <v>0.32</v>
      </c>
      <c r="E29">
        <v>13</v>
      </c>
      <c r="F29">
        <v>3.8</v>
      </c>
    </row>
    <row r="30" spans="1:6" x14ac:dyDescent="0.25">
      <c r="A30" t="s">
        <v>97</v>
      </c>
      <c r="B30">
        <v>1758</v>
      </c>
      <c r="C30">
        <v>2499</v>
      </c>
      <c r="D30" s="1">
        <v>0.3</v>
      </c>
      <c r="E30">
        <v>20</v>
      </c>
      <c r="F30">
        <v>4.0999999999999996</v>
      </c>
    </row>
    <row r="31" spans="1:6" x14ac:dyDescent="0.25">
      <c r="A31" t="s">
        <v>99</v>
      </c>
      <c r="B31">
        <v>2200</v>
      </c>
      <c r="C31">
        <v>4080</v>
      </c>
      <c r="D31" s="1">
        <v>0.46</v>
      </c>
      <c r="E31">
        <v>0</v>
      </c>
      <c r="F31" t="s">
        <v>352</v>
      </c>
    </row>
    <row r="32" spans="1:6" x14ac:dyDescent="0.25">
      <c r="A32" t="s">
        <v>102</v>
      </c>
      <c r="B32">
        <v>185</v>
      </c>
      <c r="C32">
        <v>382</v>
      </c>
      <c r="D32" s="1">
        <v>0.52</v>
      </c>
      <c r="E32">
        <v>9</v>
      </c>
      <c r="F32">
        <v>4.3</v>
      </c>
    </row>
    <row r="33" spans="1:6" x14ac:dyDescent="0.25">
      <c r="A33" t="s">
        <v>105</v>
      </c>
      <c r="B33">
        <v>980</v>
      </c>
      <c r="C33">
        <v>1490</v>
      </c>
      <c r="D33" s="1">
        <v>0.34</v>
      </c>
      <c r="E33">
        <v>12</v>
      </c>
      <c r="F33">
        <v>4.7</v>
      </c>
    </row>
    <row r="34" spans="1:6" x14ac:dyDescent="0.25">
      <c r="A34" t="s">
        <v>108</v>
      </c>
      <c r="B34">
        <v>1820</v>
      </c>
      <c r="C34">
        <v>3490</v>
      </c>
      <c r="D34" s="1">
        <v>0.48</v>
      </c>
      <c r="E34">
        <v>9</v>
      </c>
      <c r="F34">
        <v>4.3</v>
      </c>
    </row>
    <row r="35" spans="1:6" x14ac:dyDescent="0.25">
      <c r="A35" t="s">
        <v>111</v>
      </c>
      <c r="B35">
        <v>1940</v>
      </c>
      <c r="C35">
        <v>2650</v>
      </c>
      <c r="D35" s="1">
        <v>0.27</v>
      </c>
      <c r="E35">
        <v>20</v>
      </c>
      <c r="F35">
        <v>4.7</v>
      </c>
    </row>
    <row r="36" spans="1:6" x14ac:dyDescent="0.25">
      <c r="A36" t="s">
        <v>114</v>
      </c>
      <c r="B36">
        <v>1980</v>
      </c>
      <c r="C36">
        <v>2699</v>
      </c>
      <c r="D36" s="1">
        <v>0.27</v>
      </c>
      <c r="E36">
        <v>32</v>
      </c>
      <c r="F36">
        <v>4.5</v>
      </c>
    </row>
    <row r="37" spans="1:6" x14ac:dyDescent="0.25">
      <c r="A37" t="s">
        <v>117</v>
      </c>
      <c r="B37">
        <v>1620</v>
      </c>
      <c r="C37">
        <v>2690</v>
      </c>
      <c r="D37" s="1">
        <v>0.4</v>
      </c>
      <c r="E37">
        <v>1</v>
      </c>
      <c r="F37">
        <v>5</v>
      </c>
    </row>
    <row r="38" spans="1:6" x14ac:dyDescent="0.25">
      <c r="A38" t="s">
        <v>120</v>
      </c>
      <c r="B38">
        <v>171</v>
      </c>
      <c r="C38">
        <v>360</v>
      </c>
      <c r="D38" s="1">
        <v>0.53</v>
      </c>
      <c r="E38">
        <v>2</v>
      </c>
      <c r="F38">
        <v>5</v>
      </c>
    </row>
    <row r="39" spans="1:6" x14ac:dyDescent="0.25">
      <c r="A39" t="s">
        <v>122</v>
      </c>
      <c r="B39">
        <v>389</v>
      </c>
      <c r="C39">
        <v>656</v>
      </c>
      <c r="D39" s="1">
        <v>0.41</v>
      </c>
      <c r="E39">
        <v>36</v>
      </c>
      <c r="F39">
        <v>4.3</v>
      </c>
    </row>
    <row r="40" spans="1:6" x14ac:dyDescent="0.25">
      <c r="A40" t="s">
        <v>125</v>
      </c>
      <c r="B40">
        <v>1800</v>
      </c>
      <c r="C40">
        <v>2700</v>
      </c>
      <c r="D40" s="1">
        <v>0.38</v>
      </c>
      <c r="E40">
        <v>2</v>
      </c>
      <c r="F40">
        <v>4.5</v>
      </c>
    </row>
    <row r="41" spans="1:6" x14ac:dyDescent="0.25">
      <c r="A41" t="s">
        <v>128</v>
      </c>
      <c r="B41">
        <v>2750</v>
      </c>
      <c r="C41">
        <v>4471</v>
      </c>
      <c r="D41" s="1">
        <v>0.38</v>
      </c>
      <c r="E41">
        <v>0</v>
      </c>
      <c r="F41" t="s">
        <v>352</v>
      </c>
    </row>
    <row r="42" spans="1:6" x14ac:dyDescent="0.25">
      <c r="A42" t="s">
        <v>131</v>
      </c>
      <c r="B42">
        <v>475</v>
      </c>
      <c r="C42">
        <v>931</v>
      </c>
      <c r="D42" s="1">
        <v>0.49</v>
      </c>
      <c r="E42">
        <v>0</v>
      </c>
      <c r="F42" t="s">
        <v>352</v>
      </c>
    </row>
    <row r="43" spans="1:6" x14ac:dyDescent="0.25">
      <c r="A43" t="s">
        <v>134</v>
      </c>
      <c r="B43">
        <v>238</v>
      </c>
      <c r="C43">
        <v>476</v>
      </c>
      <c r="D43" s="1">
        <v>0.5</v>
      </c>
      <c r="E43">
        <v>0</v>
      </c>
      <c r="F43" t="s">
        <v>352</v>
      </c>
    </row>
    <row r="44" spans="1:6" x14ac:dyDescent="0.25">
      <c r="A44" t="s">
        <v>137</v>
      </c>
      <c r="B44">
        <v>610</v>
      </c>
      <c r="C44">
        <v>1060</v>
      </c>
      <c r="D44" s="1">
        <v>0.42</v>
      </c>
      <c r="E44">
        <v>0</v>
      </c>
      <c r="F44" t="s">
        <v>352</v>
      </c>
    </row>
    <row r="45" spans="1:6" x14ac:dyDescent="0.25">
      <c r="A45" t="s">
        <v>140</v>
      </c>
      <c r="B45">
        <v>2132</v>
      </c>
      <c r="C45">
        <v>2169</v>
      </c>
      <c r="D45" s="1">
        <v>0.02</v>
      </c>
      <c r="E45">
        <v>0</v>
      </c>
      <c r="F45" t="s">
        <v>352</v>
      </c>
    </row>
    <row r="46" spans="1:6" x14ac:dyDescent="0.25">
      <c r="A46" t="s">
        <v>143</v>
      </c>
      <c r="B46">
        <v>999</v>
      </c>
      <c r="C46">
        <v>2000</v>
      </c>
      <c r="D46" s="1">
        <v>0.5</v>
      </c>
      <c r="E46">
        <v>0</v>
      </c>
      <c r="F46" t="s">
        <v>352</v>
      </c>
    </row>
    <row r="47" spans="1:6" x14ac:dyDescent="0.25">
      <c r="A47" t="s">
        <v>145</v>
      </c>
      <c r="B47">
        <v>1190</v>
      </c>
      <c r="C47">
        <v>1785</v>
      </c>
      <c r="D47" s="1">
        <v>0.33</v>
      </c>
      <c r="E47">
        <v>0</v>
      </c>
      <c r="F47" t="s">
        <v>352</v>
      </c>
    </row>
    <row r="48" spans="1:6" x14ac:dyDescent="0.25">
      <c r="A48" t="s">
        <v>148</v>
      </c>
      <c r="B48">
        <v>671</v>
      </c>
      <c r="C48">
        <v>1316</v>
      </c>
      <c r="D48" s="1">
        <v>0.49</v>
      </c>
      <c r="E48">
        <v>0</v>
      </c>
      <c r="F48" t="s">
        <v>352</v>
      </c>
    </row>
    <row r="49" spans="1:6" x14ac:dyDescent="0.25">
      <c r="A49" t="s">
        <v>151</v>
      </c>
      <c r="B49">
        <v>1200</v>
      </c>
      <c r="C49">
        <v>1950</v>
      </c>
      <c r="D49" s="1">
        <v>0.38</v>
      </c>
      <c r="E49">
        <v>0</v>
      </c>
      <c r="F49" t="s">
        <v>352</v>
      </c>
    </row>
    <row r="50" spans="1:6" x14ac:dyDescent="0.25">
      <c r="A50" t="s">
        <v>154</v>
      </c>
      <c r="B50">
        <v>199</v>
      </c>
      <c r="C50">
        <v>504</v>
      </c>
      <c r="D50" s="1">
        <v>0.61</v>
      </c>
      <c r="E50">
        <v>0</v>
      </c>
      <c r="F50" t="s">
        <v>352</v>
      </c>
    </row>
    <row r="51" spans="1:6" x14ac:dyDescent="0.25">
      <c r="A51" t="s">
        <v>157</v>
      </c>
      <c r="B51">
        <v>299</v>
      </c>
      <c r="C51">
        <v>600</v>
      </c>
      <c r="D51" s="1">
        <v>0.5</v>
      </c>
      <c r="E51">
        <v>0</v>
      </c>
      <c r="F51" t="s">
        <v>352</v>
      </c>
    </row>
    <row r="52" spans="1:6" x14ac:dyDescent="0.25">
      <c r="A52" t="s">
        <v>160</v>
      </c>
      <c r="B52">
        <v>1660</v>
      </c>
      <c r="C52">
        <v>1699</v>
      </c>
      <c r="D52" s="1">
        <v>0.02</v>
      </c>
      <c r="E52">
        <v>0</v>
      </c>
      <c r="F52" t="s">
        <v>352</v>
      </c>
    </row>
    <row r="53" spans="1:6" x14ac:dyDescent="0.25">
      <c r="A53" t="s">
        <v>163</v>
      </c>
      <c r="B53">
        <v>299</v>
      </c>
      <c r="C53">
        <v>384</v>
      </c>
      <c r="D53" s="1">
        <v>0.22</v>
      </c>
      <c r="E53">
        <v>0</v>
      </c>
      <c r="F53" t="s">
        <v>352</v>
      </c>
    </row>
    <row r="54" spans="1:6" x14ac:dyDescent="0.25">
      <c r="A54" t="s">
        <v>165</v>
      </c>
      <c r="B54">
        <v>1459</v>
      </c>
      <c r="C54">
        <v>1499</v>
      </c>
      <c r="D54" s="1">
        <v>0.03</v>
      </c>
      <c r="E54">
        <v>0</v>
      </c>
      <c r="F54" t="s">
        <v>352</v>
      </c>
    </row>
    <row r="55" spans="1:6" x14ac:dyDescent="0.25">
      <c r="A55" t="s">
        <v>168</v>
      </c>
      <c r="B55">
        <v>799</v>
      </c>
      <c r="C55">
        <v>1343</v>
      </c>
      <c r="D55" s="1">
        <v>0.41</v>
      </c>
      <c r="E55">
        <v>0</v>
      </c>
      <c r="F55" t="s">
        <v>352</v>
      </c>
    </row>
    <row r="56" spans="1:6" x14ac:dyDescent="0.25">
      <c r="A56" t="s">
        <v>170</v>
      </c>
      <c r="B56">
        <v>499</v>
      </c>
      <c r="C56">
        <v>900</v>
      </c>
      <c r="D56" s="1">
        <v>0.45</v>
      </c>
      <c r="E56">
        <v>0</v>
      </c>
      <c r="F56" t="s">
        <v>352</v>
      </c>
    </row>
    <row r="57" spans="1:6" x14ac:dyDescent="0.25">
      <c r="A57" t="s">
        <v>173</v>
      </c>
      <c r="B57">
        <v>699</v>
      </c>
      <c r="C57">
        <v>1343</v>
      </c>
      <c r="D57" s="1">
        <v>0.48</v>
      </c>
      <c r="E57">
        <v>0</v>
      </c>
      <c r="F57" t="s">
        <v>352</v>
      </c>
    </row>
    <row r="58" spans="1:6" x14ac:dyDescent="0.25">
      <c r="A58" t="s">
        <v>175</v>
      </c>
      <c r="B58">
        <v>799</v>
      </c>
      <c r="C58">
        <v>1567</v>
      </c>
      <c r="D58" s="1">
        <v>0.49</v>
      </c>
      <c r="E58">
        <v>0</v>
      </c>
      <c r="F58" t="s">
        <v>352</v>
      </c>
    </row>
    <row r="59" spans="1:6" x14ac:dyDescent="0.25">
      <c r="A59" t="s">
        <v>177</v>
      </c>
      <c r="B59">
        <v>2799</v>
      </c>
      <c r="C59">
        <v>3810</v>
      </c>
      <c r="D59" s="1">
        <v>0.27</v>
      </c>
      <c r="E59">
        <v>0</v>
      </c>
      <c r="F59" t="s">
        <v>352</v>
      </c>
    </row>
    <row r="60" spans="1:6" x14ac:dyDescent="0.25">
      <c r="A60" t="s">
        <v>170</v>
      </c>
      <c r="B60">
        <v>399</v>
      </c>
      <c r="C60">
        <v>896</v>
      </c>
      <c r="D60" s="1">
        <v>0.55000000000000004</v>
      </c>
      <c r="E60">
        <v>0</v>
      </c>
      <c r="F60" t="s">
        <v>352</v>
      </c>
    </row>
    <row r="61" spans="1:6" x14ac:dyDescent="0.25">
      <c r="A61" t="s">
        <v>182</v>
      </c>
      <c r="B61">
        <v>2170</v>
      </c>
      <c r="C61">
        <v>2500</v>
      </c>
      <c r="D61" s="1">
        <v>0.13</v>
      </c>
      <c r="E61">
        <v>6</v>
      </c>
      <c r="F61">
        <v>2.5</v>
      </c>
    </row>
    <row r="62" spans="1:6" x14ac:dyDescent="0.25">
      <c r="A62" t="s">
        <v>186</v>
      </c>
      <c r="B62">
        <v>458</v>
      </c>
      <c r="C62">
        <v>986</v>
      </c>
      <c r="D62" s="1">
        <v>0.54</v>
      </c>
      <c r="E62">
        <v>10</v>
      </c>
      <c r="F62">
        <v>3</v>
      </c>
    </row>
    <row r="63" spans="1:6" x14ac:dyDescent="0.25">
      <c r="A63" t="s">
        <v>190</v>
      </c>
      <c r="B63">
        <v>2115</v>
      </c>
      <c r="C63">
        <v>4700</v>
      </c>
      <c r="D63" s="1">
        <v>0.55000000000000004</v>
      </c>
      <c r="E63">
        <v>13</v>
      </c>
      <c r="F63">
        <v>2.1</v>
      </c>
    </row>
    <row r="64" spans="1:6" x14ac:dyDescent="0.25">
      <c r="A64" t="s">
        <v>194</v>
      </c>
      <c r="B64">
        <v>445</v>
      </c>
      <c r="C64">
        <v>873</v>
      </c>
      <c r="D64" s="1">
        <v>0.49</v>
      </c>
      <c r="E64">
        <v>69</v>
      </c>
      <c r="F64">
        <v>2.8</v>
      </c>
    </row>
    <row r="65" spans="1:6" x14ac:dyDescent="0.25">
      <c r="A65" t="s">
        <v>198</v>
      </c>
      <c r="B65">
        <v>325</v>
      </c>
      <c r="C65">
        <v>680</v>
      </c>
      <c r="D65" s="1">
        <v>0.52</v>
      </c>
      <c r="E65">
        <v>15</v>
      </c>
      <c r="F65">
        <v>2.7</v>
      </c>
    </row>
    <row r="66" spans="1:6" x14ac:dyDescent="0.25">
      <c r="A66" t="s">
        <v>202</v>
      </c>
      <c r="B66">
        <v>1220</v>
      </c>
      <c r="C66">
        <v>1555</v>
      </c>
      <c r="D66" s="1">
        <v>0.22</v>
      </c>
      <c r="E66">
        <v>16</v>
      </c>
      <c r="F66">
        <v>2.9</v>
      </c>
    </row>
    <row r="67" spans="1:6" x14ac:dyDescent="0.25">
      <c r="A67" t="s">
        <v>206</v>
      </c>
      <c r="B67">
        <v>990</v>
      </c>
      <c r="C67">
        <v>1814</v>
      </c>
      <c r="D67" s="1">
        <v>0.45</v>
      </c>
      <c r="E67">
        <v>6</v>
      </c>
      <c r="F67">
        <v>2.2000000000000002</v>
      </c>
    </row>
    <row r="68" spans="1:6" x14ac:dyDescent="0.25">
      <c r="A68" t="s">
        <v>209</v>
      </c>
      <c r="B68">
        <v>1000</v>
      </c>
      <c r="C68">
        <v>2000</v>
      </c>
      <c r="D68" s="1">
        <v>0.5</v>
      </c>
      <c r="E68">
        <v>7</v>
      </c>
      <c r="F68">
        <v>2.2999999999999998</v>
      </c>
    </row>
    <row r="69" spans="1:6" x14ac:dyDescent="0.25">
      <c r="A69" t="s">
        <v>212</v>
      </c>
      <c r="B69">
        <v>3750</v>
      </c>
      <c r="C69">
        <v>6143</v>
      </c>
      <c r="D69" s="1">
        <v>0.39</v>
      </c>
      <c r="E69">
        <v>5</v>
      </c>
      <c r="F69">
        <v>3</v>
      </c>
    </row>
    <row r="70" spans="1:6" x14ac:dyDescent="0.25">
      <c r="A70" t="s">
        <v>215</v>
      </c>
      <c r="B70">
        <v>382</v>
      </c>
      <c r="C70">
        <v>700</v>
      </c>
      <c r="D70" s="1">
        <v>0.45</v>
      </c>
      <c r="E70">
        <v>17</v>
      </c>
      <c r="F70">
        <v>2.6</v>
      </c>
    </row>
    <row r="71" spans="1:6" x14ac:dyDescent="0.25">
      <c r="A71" t="s">
        <v>218</v>
      </c>
      <c r="B71">
        <v>2300</v>
      </c>
      <c r="C71">
        <v>3240</v>
      </c>
      <c r="D71" s="1">
        <v>0.28999999999999998</v>
      </c>
      <c r="E71">
        <v>5</v>
      </c>
      <c r="F71">
        <v>3</v>
      </c>
    </row>
    <row r="72" spans="1:6" x14ac:dyDescent="0.25">
      <c r="A72" t="s">
        <v>221</v>
      </c>
      <c r="B72">
        <v>345</v>
      </c>
      <c r="C72">
        <v>602</v>
      </c>
      <c r="D72" s="1">
        <v>0.43</v>
      </c>
      <c r="E72">
        <v>6</v>
      </c>
      <c r="F72">
        <v>2.2999999999999998</v>
      </c>
    </row>
    <row r="73" spans="1:6" x14ac:dyDescent="0.25">
      <c r="A73" t="s">
        <v>224</v>
      </c>
      <c r="B73">
        <v>509</v>
      </c>
      <c r="C73">
        <v>899</v>
      </c>
      <c r="D73" s="1">
        <v>0.43</v>
      </c>
      <c r="E73">
        <v>5</v>
      </c>
      <c r="F73">
        <v>3</v>
      </c>
    </row>
    <row r="74" spans="1:6" x14ac:dyDescent="0.25">
      <c r="A74" t="s">
        <v>227</v>
      </c>
      <c r="B74">
        <v>968</v>
      </c>
      <c r="C74">
        <v>1814</v>
      </c>
      <c r="D74" s="1">
        <v>0.47</v>
      </c>
      <c r="E74">
        <v>6</v>
      </c>
      <c r="F74">
        <v>2.2000000000000002</v>
      </c>
    </row>
    <row r="75" spans="1:6" x14ac:dyDescent="0.25">
      <c r="A75" t="s">
        <v>229</v>
      </c>
      <c r="B75">
        <v>1570</v>
      </c>
      <c r="C75">
        <v>2988</v>
      </c>
      <c r="D75" s="1">
        <v>0.47</v>
      </c>
      <c r="E75">
        <v>7</v>
      </c>
      <c r="F75">
        <v>2.1</v>
      </c>
    </row>
    <row r="76" spans="1:6" x14ac:dyDescent="0.25">
      <c r="A76" t="s">
        <v>232</v>
      </c>
      <c r="B76">
        <v>790</v>
      </c>
      <c r="C76">
        <v>1485</v>
      </c>
      <c r="D76" s="1">
        <v>0.47</v>
      </c>
      <c r="E76">
        <v>0</v>
      </c>
      <c r="F76" t="s">
        <v>352</v>
      </c>
    </row>
    <row r="77" spans="1:6" x14ac:dyDescent="0.25">
      <c r="A77" t="s">
        <v>235</v>
      </c>
      <c r="B77">
        <v>690</v>
      </c>
      <c r="C77">
        <v>1200</v>
      </c>
      <c r="D77" s="1">
        <v>0.43</v>
      </c>
      <c r="E77">
        <v>0</v>
      </c>
      <c r="F77" t="s">
        <v>352</v>
      </c>
    </row>
    <row r="78" spans="1:6" x14ac:dyDescent="0.25">
      <c r="A78" t="s">
        <v>237</v>
      </c>
      <c r="B78">
        <v>1732</v>
      </c>
      <c r="C78">
        <v>1799</v>
      </c>
      <c r="D78" s="1">
        <v>0.04</v>
      </c>
      <c r="E78">
        <v>0</v>
      </c>
      <c r="F78" t="s">
        <v>352</v>
      </c>
    </row>
    <row r="79" spans="1:6" x14ac:dyDescent="0.25">
      <c r="A79" t="s">
        <v>240</v>
      </c>
      <c r="B79">
        <v>230</v>
      </c>
      <c r="C79">
        <v>450</v>
      </c>
      <c r="D79" s="1">
        <v>0.49</v>
      </c>
      <c r="E79">
        <v>0</v>
      </c>
      <c r="F79" t="s">
        <v>352</v>
      </c>
    </row>
    <row r="80" spans="1:6" x14ac:dyDescent="0.25">
      <c r="A80" t="s">
        <v>243</v>
      </c>
      <c r="B80">
        <v>1189</v>
      </c>
      <c r="C80">
        <v>2199</v>
      </c>
      <c r="D80" s="1">
        <v>0.46</v>
      </c>
      <c r="E80">
        <v>1</v>
      </c>
      <c r="F80">
        <v>3</v>
      </c>
    </row>
    <row r="81" spans="1:6" x14ac:dyDescent="0.25">
      <c r="A81" t="s">
        <v>245</v>
      </c>
      <c r="B81">
        <v>979</v>
      </c>
      <c r="C81">
        <v>1920</v>
      </c>
      <c r="D81" s="1">
        <v>0.49</v>
      </c>
      <c r="E81">
        <v>1</v>
      </c>
      <c r="F81">
        <v>5</v>
      </c>
    </row>
    <row r="82" spans="1:6" x14ac:dyDescent="0.25">
      <c r="A82" t="s">
        <v>248</v>
      </c>
      <c r="B82">
        <v>1460</v>
      </c>
      <c r="C82">
        <v>2290</v>
      </c>
      <c r="D82" s="1">
        <v>0.36</v>
      </c>
      <c r="E82">
        <v>0</v>
      </c>
      <c r="F82" t="s">
        <v>352</v>
      </c>
    </row>
    <row r="83" spans="1:6" x14ac:dyDescent="0.25">
      <c r="A83" t="s">
        <v>251</v>
      </c>
      <c r="B83">
        <v>1666</v>
      </c>
      <c r="C83">
        <v>1699</v>
      </c>
      <c r="D83" s="1">
        <v>0.02</v>
      </c>
      <c r="E83">
        <v>0</v>
      </c>
      <c r="F83" t="s">
        <v>352</v>
      </c>
    </row>
    <row r="84" spans="1:6" x14ac:dyDescent="0.25">
      <c r="A84" t="s">
        <v>253</v>
      </c>
      <c r="B84">
        <v>330</v>
      </c>
      <c r="C84">
        <v>647</v>
      </c>
      <c r="D84" s="1">
        <v>0.49</v>
      </c>
      <c r="E84">
        <v>1</v>
      </c>
      <c r="F84">
        <v>4</v>
      </c>
    </row>
    <row r="85" spans="1:6" x14ac:dyDescent="0.25">
      <c r="A85" t="s">
        <v>154</v>
      </c>
      <c r="B85">
        <v>176</v>
      </c>
      <c r="C85">
        <v>345</v>
      </c>
      <c r="D85" s="1">
        <v>0.49</v>
      </c>
      <c r="E85">
        <v>0</v>
      </c>
      <c r="F85" t="s">
        <v>352</v>
      </c>
    </row>
    <row r="86" spans="1:6" x14ac:dyDescent="0.25">
      <c r="A86" t="s">
        <v>256</v>
      </c>
      <c r="B86">
        <v>1466</v>
      </c>
      <c r="C86">
        <v>1699</v>
      </c>
      <c r="D86" s="1">
        <v>0.14000000000000001</v>
      </c>
      <c r="E86">
        <v>0</v>
      </c>
      <c r="F86" t="s">
        <v>352</v>
      </c>
    </row>
    <row r="87" spans="1:6" x14ac:dyDescent="0.25">
      <c r="A87" t="s">
        <v>258</v>
      </c>
      <c r="B87">
        <v>274</v>
      </c>
      <c r="C87">
        <v>537</v>
      </c>
      <c r="D87" s="1">
        <v>0.49</v>
      </c>
      <c r="E87">
        <v>0</v>
      </c>
      <c r="F87" t="s">
        <v>352</v>
      </c>
    </row>
    <row r="88" spans="1:6" x14ac:dyDescent="0.25">
      <c r="A88" t="s">
        <v>261</v>
      </c>
      <c r="B88">
        <v>799</v>
      </c>
      <c r="C88">
        <v>900</v>
      </c>
      <c r="D88" s="1">
        <v>0.11</v>
      </c>
      <c r="E88">
        <v>0</v>
      </c>
      <c r="F88" t="s">
        <v>352</v>
      </c>
    </row>
    <row r="89" spans="1:6" x14ac:dyDescent="0.25">
      <c r="A89" t="s">
        <v>175</v>
      </c>
      <c r="B89">
        <v>657</v>
      </c>
      <c r="C89">
        <v>1288</v>
      </c>
      <c r="D89" s="1">
        <v>0.49</v>
      </c>
      <c r="E89">
        <v>0</v>
      </c>
      <c r="F89" t="s">
        <v>352</v>
      </c>
    </row>
    <row r="90" spans="1:6" x14ac:dyDescent="0.25">
      <c r="A90" t="s">
        <v>264</v>
      </c>
      <c r="B90">
        <v>1468</v>
      </c>
      <c r="C90">
        <v>1699</v>
      </c>
      <c r="D90" s="1">
        <v>0.14000000000000001</v>
      </c>
      <c r="E90">
        <v>0</v>
      </c>
      <c r="F90" t="s">
        <v>352</v>
      </c>
    </row>
    <row r="91" spans="1:6" x14ac:dyDescent="0.25">
      <c r="A91" t="s">
        <v>266</v>
      </c>
      <c r="B91">
        <v>630</v>
      </c>
      <c r="C91">
        <v>1100</v>
      </c>
      <c r="D91" s="1">
        <v>0.43</v>
      </c>
      <c r="E91">
        <v>0</v>
      </c>
      <c r="F91" t="s">
        <v>352</v>
      </c>
    </row>
    <row r="92" spans="1:6" x14ac:dyDescent="0.25">
      <c r="A92" t="s">
        <v>269</v>
      </c>
      <c r="B92">
        <v>850</v>
      </c>
      <c r="C92">
        <v>1700</v>
      </c>
      <c r="D92" s="1">
        <v>0.5</v>
      </c>
      <c r="E92">
        <v>0</v>
      </c>
      <c r="F92" t="s">
        <v>352</v>
      </c>
    </row>
    <row r="93" spans="1:6" x14ac:dyDescent="0.25">
      <c r="A93" t="s">
        <v>272</v>
      </c>
      <c r="B93">
        <v>1300</v>
      </c>
      <c r="C93">
        <v>2500</v>
      </c>
      <c r="D93" s="1">
        <v>0.48</v>
      </c>
      <c r="E93">
        <v>0</v>
      </c>
      <c r="F93" t="s">
        <v>352</v>
      </c>
    </row>
    <row r="94" spans="1:6" x14ac:dyDescent="0.25">
      <c r="A94" t="s">
        <v>274</v>
      </c>
      <c r="B94">
        <v>105</v>
      </c>
      <c r="C94">
        <v>200</v>
      </c>
      <c r="D94" s="1">
        <v>0.48</v>
      </c>
      <c r="E94">
        <v>0</v>
      </c>
      <c r="F94" t="s">
        <v>352</v>
      </c>
    </row>
    <row r="95" spans="1:6" x14ac:dyDescent="0.25">
      <c r="A95" t="s">
        <v>277</v>
      </c>
      <c r="B95">
        <v>899</v>
      </c>
      <c r="C95">
        <v>1699</v>
      </c>
      <c r="D95" s="1">
        <v>0.47</v>
      </c>
      <c r="E95">
        <v>0</v>
      </c>
      <c r="F95" t="s">
        <v>352</v>
      </c>
    </row>
    <row r="96" spans="1:6" x14ac:dyDescent="0.25">
      <c r="A96" t="s">
        <v>278</v>
      </c>
      <c r="B96">
        <v>1200</v>
      </c>
      <c r="C96">
        <v>2400</v>
      </c>
      <c r="D96" s="1">
        <v>0.5</v>
      </c>
      <c r="E96">
        <v>0</v>
      </c>
      <c r="F96" t="s">
        <v>352</v>
      </c>
    </row>
    <row r="97" spans="1:6" x14ac:dyDescent="0.25">
      <c r="A97" t="s">
        <v>280</v>
      </c>
      <c r="B97">
        <v>1526</v>
      </c>
      <c r="C97">
        <v>1660</v>
      </c>
      <c r="D97" s="1">
        <v>0.08</v>
      </c>
      <c r="E97">
        <v>0</v>
      </c>
      <c r="F97" t="s">
        <v>352</v>
      </c>
    </row>
    <row r="98" spans="1:6" x14ac:dyDescent="0.25">
      <c r="A98" t="s">
        <v>282</v>
      </c>
      <c r="B98">
        <v>1462</v>
      </c>
      <c r="C98">
        <v>1499</v>
      </c>
      <c r="D98" s="1">
        <v>0.02</v>
      </c>
      <c r="E98">
        <v>0</v>
      </c>
      <c r="F98" t="s">
        <v>352</v>
      </c>
    </row>
    <row r="99" spans="1:6" x14ac:dyDescent="0.25">
      <c r="A99" t="s">
        <v>284</v>
      </c>
      <c r="B99">
        <v>248</v>
      </c>
      <c r="C99">
        <v>486</v>
      </c>
      <c r="D99" s="1">
        <v>0.49</v>
      </c>
      <c r="E99">
        <v>0</v>
      </c>
      <c r="F99" t="s">
        <v>352</v>
      </c>
    </row>
    <row r="100" spans="1:6" x14ac:dyDescent="0.25">
      <c r="A100" t="s">
        <v>287</v>
      </c>
      <c r="B100">
        <v>3546</v>
      </c>
      <c r="C100">
        <v>3699</v>
      </c>
      <c r="D100" s="1">
        <v>0.04</v>
      </c>
      <c r="E100">
        <v>0</v>
      </c>
      <c r="F100" t="s">
        <v>352</v>
      </c>
    </row>
    <row r="101" spans="1:6" x14ac:dyDescent="0.25">
      <c r="A101" t="s">
        <v>289</v>
      </c>
      <c r="B101">
        <v>525</v>
      </c>
      <c r="C101">
        <v>1029</v>
      </c>
      <c r="D101" s="1">
        <v>0.49</v>
      </c>
      <c r="E101">
        <v>0</v>
      </c>
      <c r="F101" t="s">
        <v>352</v>
      </c>
    </row>
    <row r="102" spans="1:6" x14ac:dyDescent="0.25">
      <c r="A102" t="s">
        <v>292</v>
      </c>
      <c r="B102">
        <v>1080</v>
      </c>
      <c r="C102">
        <v>1874</v>
      </c>
      <c r="D102" s="1">
        <v>0.42</v>
      </c>
      <c r="E102">
        <v>0</v>
      </c>
      <c r="F102" t="s">
        <v>352</v>
      </c>
    </row>
    <row r="103" spans="1:6" x14ac:dyDescent="0.25">
      <c r="A103" t="s">
        <v>295</v>
      </c>
      <c r="B103">
        <v>3640</v>
      </c>
      <c r="C103">
        <v>4588</v>
      </c>
      <c r="D103" s="1">
        <v>0.21</v>
      </c>
      <c r="E103">
        <v>1</v>
      </c>
      <c r="F103">
        <v>5</v>
      </c>
    </row>
    <row r="104" spans="1:6" x14ac:dyDescent="0.25">
      <c r="A104" t="s">
        <v>298</v>
      </c>
      <c r="B104">
        <v>1420</v>
      </c>
      <c r="C104">
        <v>2420</v>
      </c>
      <c r="D104" s="1">
        <v>0.41</v>
      </c>
      <c r="E104">
        <v>0</v>
      </c>
      <c r="F104" t="s">
        <v>352</v>
      </c>
    </row>
    <row r="105" spans="1:6" x14ac:dyDescent="0.25">
      <c r="A105" t="s">
        <v>301</v>
      </c>
      <c r="B105">
        <v>1875</v>
      </c>
      <c r="C105">
        <v>1899</v>
      </c>
      <c r="D105" s="1">
        <v>0.01</v>
      </c>
      <c r="E105">
        <v>0</v>
      </c>
      <c r="F105" t="s">
        <v>352</v>
      </c>
    </row>
    <row r="106" spans="1:6" x14ac:dyDescent="0.25">
      <c r="A106" t="s">
        <v>304</v>
      </c>
      <c r="B106">
        <v>198</v>
      </c>
      <c r="C106">
        <v>260</v>
      </c>
      <c r="D106" s="1">
        <v>0.24</v>
      </c>
      <c r="E106">
        <v>0</v>
      </c>
      <c r="F106" t="s">
        <v>352</v>
      </c>
    </row>
    <row r="107" spans="1:6" x14ac:dyDescent="0.25">
      <c r="A107" t="s">
        <v>307</v>
      </c>
      <c r="B107">
        <v>1150</v>
      </c>
      <c r="C107">
        <v>1737</v>
      </c>
      <c r="D107" s="1">
        <v>0.34</v>
      </c>
      <c r="E107">
        <v>0</v>
      </c>
      <c r="F107" t="s">
        <v>352</v>
      </c>
    </row>
    <row r="108" spans="1:6" x14ac:dyDescent="0.25">
      <c r="A108" t="s">
        <v>310</v>
      </c>
      <c r="B108">
        <v>1190</v>
      </c>
      <c r="C108">
        <v>1810</v>
      </c>
      <c r="D108" s="1">
        <v>0.34</v>
      </c>
      <c r="E108">
        <v>0</v>
      </c>
      <c r="F108" t="s">
        <v>352</v>
      </c>
    </row>
    <row r="109" spans="1:6" x14ac:dyDescent="0.25">
      <c r="A109" t="s">
        <v>312</v>
      </c>
      <c r="B109">
        <v>1658</v>
      </c>
      <c r="C109">
        <v>1699</v>
      </c>
      <c r="D109" s="1">
        <v>0.02</v>
      </c>
      <c r="E109">
        <v>0</v>
      </c>
      <c r="F109" t="s">
        <v>352</v>
      </c>
    </row>
    <row r="110" spans="1:6" x14ac:dyDescent="0.25">
      <c r="A110" t="s">
        <v>314</v>
      </c>
      <c r="B110">
        <v>1768</v>
      </c>
      <c r="C110">
        <v>1799</v>
      </c>
      <c r="D110" s="1">
        <v>0.02</v>
      </c>
      <c r="E110">
        <v>0</v>
      </c>
      <c r="F110" t="s">
        <v>352</v>
      </c>
    </row>
    <row r="111" spans="1:6" x14ac:dyDescent="0.25">
      <c r="A111" t="s">
        <v>316</v>
      </c>
      <c r="B111">
        <v>199</v>
      </c>
      <c r="C111">
        <v>553</v>
      </c>
      <c r="D111" s="1">
        <v>0.64</v>
      </c>
      <c r="E111">
        <v>0</v>
      </c>
      <c r="F111" t="s">
        <v>352</v>
      </c>
    </row>
    <row r="112" spans="1:6" x14ac:dyDescent="0.25">
      <c r="A112" t="s">
        <v>318</v>
      </c>
      <c r="B112">
        <v>450</v>
      </c>
      <c r="C112">
        <v>900</v>
      </c>
      <c r="D112" s="1">
        <v>0.5</v>
      </c>
      <c r="E112">
        <v>1</v>
      </c>
      <c r="F112">
        <v>2</v>
      </c>
    </row>
    <row r="113" spans="1:6" x14ac:dyDescent="0.25">
      <c r="A113" t="s">
        <v>320</v>
      </c>
      <c r="B113">
        <v>169</v>
      </c>
      <c r="C113">
        <v>320</v>
      </c>
      <c r="D113" s="1">
        <v>0.47</v>
      </c>
      <c r="E113">
        <v>0</v>
      </c>
      <c r="F113" t="s">
        <v>352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K113"/>
  <sheetViews>
    <sheetView workbookViewId="0"/>
  </sheetViews>
  <sheetFormatPr defaultRowHeight="15" x14ac:dyDescent="0.25"/>
  <cols>
    <col min="1" max="1" width="95.7109375" bestFit="1" customWidth="1"/>
    <col min="2" max="2" width="12.5703125" bestFit="1" customWidth="1"/>
    <col min="3" max="3" width="9" bestFit="1" customWidth="1"/>
    <col min="4" max="4" width="8.7109375" bestFit="1" customWidth="1"/>
    <col min="5" max="5" width="7.5703125" bestFit="1" customWidth="1"/>
    <col min="6" max="6" width="6.5703125" bestFit="1" customWidth="1"/>
    <col min="7" max="7" width="16.42578125" bestFit="1" customWidth="1"/>
    <col min="8" max="8" width="15" bestFit="1" customWidth="1"/>
    <col min="9" max="9" width="17.28515625" bestFit="1" customWidth="1"/>
    <col min="10" max="10" width="13.85546875" bestFit="1" customWidth="1"/>
    <col min="11" max="11" width="9" bestFit="1" customWidth="1"/>
  </cols>
  <sheetData>
    <row r="1" spans="1:11" x14ac:dyDescent="0.25">
      <c r="A1" s="10" t="s">
        <v>0</v>
      </c>
      <c r="B1" s="10" t="s">
        <v>1</v>
      </c>
      <c r="C1" s="10" t="s">
        <v>346</v>
      </c>
      <c r="D1" s="10" t="s">
        <v>3</v>
      </c>
      <c r="E1" s="10" t="s">
        <v>4</v>
      </c>
      <c r="F1" s="10" t="s">
        <v>351</v>
      </c>
      <c r="G1" s="10" t="s">
        <v>406</v>
      </c>
      <c r="H1" s="10" t="s">
        <v>407</v>
      </c>
      <c r="I1" s="10" t="s">
        <v>408</v>
      </c>
      <c r="J1" s="10" t="s">
        <v>409</v>
      </c>
      <c r="K1" s="10" t="s">
        <v>496</v>
      </c>
    </row>
    <row r="2" spans="1:11" x14ac:dyDescent="0.25">
      <c r="A2" t="s">
        <v>194</v>
      </c>
      <c r="B2">
        <v>445</v>
      </c>
      <c r="C2">
        <v>873</v>
      </c>
      <c r="D2" s="1">
        <v>0.49</v>
      </c>
      <c r="E2">
        <v>69</v>
      </c>
      <c r="F2">
        <v>2.8</v>
      </c>
      <c r="G2">
        <f t="shared" ref="G2:G33" si="0">C2-B2</f>
        <v>428</v>
      </c>
      <c r="H2" t="str">
        <f t="shared" ref="H2:H33" si="1">IF(F2="","Not Rated",IF(F2&lt;3,"Poor",IF(F2&lt;=4,"Average",IF(F2&lt;=4.5,"Good","Excellent"))))</f>
        <v>Poor</v>
      </c>
      <c r="I2" t="str">
        <f t="shared" ref="I2:I33" si="2">IF(D2&lt;20%,"Low",IF(D2&lt;=40%,"Medium","High"))</f>
        <v>High</v>
      </c>
      <c r="J2" t="str">
        <f t="shared" ref="J2:J33" si="3">IF(B2&lt;=493,"Low",IF(B2&lt;=1669.5,"Medium","High"))</f>
        <v>Low</v>
      </c>
      <c r="K2">
        <f>ROW()-1</f>
        <v>1</v>
      </c>
    </row>
    <row r="3" spans="1:11" x14ac:dyDescent="0.25">
      <c r="A3" t="s">
        <v>30</v>
      </c>
      <c r="B3">
        <v>2319</v>
      </c>
      <c r="C3">
        <v>3032</v>
      </c>
      <c r="D3" s="1">
        <v>0.24</v>
      </c>
      <c r="E3">
        <v>55</v>
      </c>
      <c r="F3">
        <v>4.5999999999999996</v>
      </c>
      <c r="G3">
        <f t="shared" si="0"/>
        <v>713</v>
      </c>
      <c r="H3" t="str">
        <f t="shared" si="1"/>
        <v>Excellent</v>
      </c>
      <c r="I3" t="str">
        <f t="shared" si="2"/>
        <v>Medium</v>
      </c>
      <c r="J3" t="str">
        <f t="shared" si="3"/>
        <v>High</v>
      </c>
      <c r="K3">
        <f t="shared" ref="K3:K66" si="4">ROW()-1</f>
        <v>2</v>
      </c>
    </row>
    <row r="4" spans="1:11" x14ac:dyDescent="0.25">
      <c r="A4" t="s">
        <v>89</v>
      </c>
      <c r="B4">
        <v>420</v>
      </c>
      <c r="C4">
        <v>647</v>
      </c>
      <c r="D4" s="1">
        <v>0.35</v>
      </c>
      <c r="E4">
        <v>49</v>
      </c>
      <c r="F4">
        <v>4.5999999999999996</v>
      </c>
      <c r="G4">
        <f t="shared" si="0"/>
        <v>227</v>
      </c>
      <c r="H4" t="str">
        <f t="shared" si="1"/>
        <v>Excellent</v>
      </c>
      <c r="I4" t="str">
        <f t="shared" si="2"/>
        <v>Medium</v>
      </c>
      <c r="J4" t="str">
        <f t="shared" si="3"/>
        <v>Low</v>
      </c>
      <c r="K4">
        <f t="shared" si="4"/>
        <v>3</v>
      </c>
    </row>
    <row r="5" spans="1:11" x14ac:dyDescent="0.25">
      <c r="A5" t="s">
        <v>68</v>
      </c>
      <c r="B5">
        <v>998</v>
      </c>
      <c r="C5">
        <v>1966</v>
      </c>
      <c r="D5" s="1">
        <v>0.49</v>
      </c>
      <c r="E5">
        <v>44</v>
      </c>
      <c r="F5">
        <v>4.5999999999999996</v>
      </c>
      <c r="G5">
        <f t="shared" si="0"/>
        <v>968</v>
      </c>
      <c r="H5" t="str">
        <f t="shared" si="1"/>
        <v>Excellent</v>
      </c>
      <c r="I5" t="str">
        <f t="shared" si="2"/>
        <v>High</v>
      </c>
      <c r="J5" t="str">
        <f t="shared" si="3"/>
        <v>Medium</v>
      </c>
      <c r="K5">
        <f t="shared" si="4"/>
        <v>4</v>
      </c>
    </row>
    <row r="6" spans="1:11" x14ac:dyDescent="0.25">
      <c r="A6" t="s">
        <v>44</v>
      </c>
      <c r="B6">
        <v>990</v>
      </c>
      <c r="C6">
        <v>1500</v>
      </c>
      <c r="D6" s="1">
        <v>0.34</v>
      </c>
      <c r="E6">
        <v>39</v>
      </c>
      <c r="F6">
        <v>4.7</v>
      </c>
      <c r="G6">
        <f t="shared" si="0"/>
        <v>510</v>
      </c>
      <c r="H6" t="str">
        <f t="shared" si="1"/>
        <v>Excellent</v>
      </c>
      <c r="I6" t="str">
        <f t="shared" si="2"/>
        <v>Medium</v>
      </c>
      <c r="J6" t="str">
        <f t="shared" si="3"/>
        <v>Medium</v>
      </c>
      <c r="K6">
        <f t="shared" si="4"/>
        <v>5</v>
      </c>
    </row>
    <row r="7" spans="1:11" x14ac:dyDescent="0.25">
      <c r="A7" t="s">
        <v>122</v>
      </c>
      <c r="B7">
        <v>389</v>
      </c>
      <c r="C7">
        <v>656</v>
      </c>
      <c r="D7" s="1">
        <v>0.41</v>
      </c>
      <c r="E7">
        <v>36</v>
      </c>
      <c r="F7">
        <v>4.3</v>
      </c>
      <c r="G7">
        <f t="shared" si="0"/>
        <v>267</v>
      </c>
      <c r="H7" t="str">
        <f t="shared" si="1"/>
        <v>Good</v>
      </c>
      <c r="I7" t="str">
        <f t="shared" si="2"/>
        <v>High</v>
      </c>
      <c r="J7" t="str">
        <f t="shared" si="3"/>
        <v>Low</v>
      </c>
      <c r="K7">
        <f t="shared" si="4"/>
        <v>6</v>
      </c>
    </row>
    <row r="8" spans="1:11" x14ac:dyDescent="0.25">
      <c r="A8" t="s">
        <v>114</v>
      </c>
      <c r="B8">
        <v>1980</v>
      </c>
      <c r="C8">
        <v>2699</v>
      </c>
      <c r="D8" s="1">
        <v>0.27</v>
      </c>
      <c r="E8">
        <v>32</v>
      </c>
      <c r="F8">
        <v>4.5</v>
      </c>
      <c r="G8">
        <f t="shared" si="0"/>
        <v>719</v>
      </c>
      <c r="H8" t="str">
        <f t="shared" si="1"/>
        <v>Good</v>
      </c>
      <c r="I8" t="str">
        <f t="shared" si="2"/>
        <v>Medium</v>
      </c>
      <c r="J8" t="str">
        <f t="shared" si="3"/>
        <v>High</v>
      </c>
      <c r="K8">
        <f t="shared" si="4"/>
        <v>7</v>
      </c>
    </row>
    <row r="9" spans="1:11" x14ac:dyDescent="0.25">
      <c r="A9" t="s">
        <v>14</v>
      </c>
      <c r="B9">
        <v>2199</v>
      </c>
      <c r="C9">
        <v>2923</v>
      </c>
      <c r="D9" s="1">
        <v>0.25</v>
      </c>
      <c r="E9">
        <v>24</v>
      </c>
      <c r="F9">
        <v>4.5999999999999996</v>
      </c>
      <c r="G9">
        <f t="shared" si="0"/>
        <v>724</v>
      </c>
      <c r="H9" t="str">
        <f t="shared" si="1"/>
        <v>Excellent</v>
      </c>
      <c r="I9" t="str">
        <f t="shared" si="2"/>
        <v>Medium</v>
      </c>
      <c r="J9" t="str">
        <f t="shared" si="3"/>
        <v>High</v>
      </c>
      <c r="K9">
        <f t="shared" si="4"/>
        <v>8</v>
      </c>
    </row>
    <row r="10" spans="1:11" x14ac:dyDescent="0.25">
      <c r="A10" t="s">
        <v>97</v>
      </c>
      <c r="B10">
        <v>1758</v>
      </c>
      <c r="C10">
        <v>2499</v>
      </c>
      <c r="D10" s="1">
        <v>0.3</v>
      </c>
      <c r="E10">
        <v>20</v>
      </c>
      <c r="F10">
        <v>4.0999999999999996</v>
      </c>
      <c r="G10">
        <f t="shared" si="0"/>
        <v>741</v>
      </c>
      <c r="H10" t="str">
        <f t="shared" si="1"/>
        <v>Good</v>
      </c>
      <c r="I10" t="str">
        <f t="shared" si="2"/>
        <v>Medium</v>
      </c>
      <c r="J10" t="str">
        <f t="shared" si="3"/>
        <v>High</v>
      </c>
      <c r="K10">
        <f t="shared" si="4"/>
        <v>9</v>
      </c>
    </row>
    <row r="11" spans="1:11" x14ac:dyDescent="0.25">
      <c r="A11" t="s">
        <v>111</v>
      </c>
      <c r="B11">
        <v>1940</v>
      </c>
      <c r="C11">
        <v>2650</v>
      </c>
      <c r="D11" s="1">
        <v>0.27</v>
      </c>
      <c r="E11">
        <v>20</v>
      </c>
      <c r="F11">
        <v>4.7</v>
      </c>
      <c r="G11">
        <f t="shared" si="0"/>
        <v>710</v>
      </c>
      <c r="H11" t="str">
        <f t="shared" si="1"/>
        <v>Excellent</v>
      </c>
      <c r="I11" t="str">
        <f t="shared" si="2"/>
        <v>Medium</v>
      </c>
      <c r="J11" t="str">
        <f t="shared" si="3"/>
        <v>High</v>
      </c>
      <c r="K11">
        <f t="shared" si="4"/>
        <v>10</v>
      </c>
    </row>
    <row r="12" spans="1:11" x14ac:dyDescent="0.25">
      <c r="A12" t="s">
        <v>215</v>
      </c>
      <c r="B12">
        <v>382</v>
      </c>
      <c r="C12">
        <v>700</v>
      </c>
      <c r="D12" s="1">
        <v>0.45</v>
      </c>
      <c r="E12">
        <v>17</v>
      </c>
      <c r="F12">
        <v>2.6</v>
      </c>
      <c r="G12">
        <f t="shared" si="0"/>
        <v>318</v>
      </c>
      <c r="H12" t="str">
        <f t="shared" si="1"/>
        <v>Poor</v>
      </c>
      <c r="I12" t="str">
        <f t="shared" si="2"/>
        <v>High</v>
      </c>
      <c r="J12" t="str">
        <f t="shared" si="3"/>
        <v>Low</v>
      </c>
      <c r="K12">
        <f t="shared" si="4"/>
        <v>11</v>
      </c>
    </row>
    <row r="13" spans="1:11" x14ac:dyDescent="0.25">
      <c r="A13" t="s">
        <v>202</v>
      </c>
      <c r="B13">
        <v>1220</v>
      </c>
      <c r="C13">
        <v>1555</v>
      </c>
      <c r="D13" s="1">
        <v>0.22</v>
      </c>
      <c r="E13">
        <v>16</v>
      </c>
      <c r="F13">
        <v>2.9</v>
      </c>
      <c r="G13">
        <f t="shared" si="0"/>
        <v>335</v>
      </c>
      <c r="H13" t="str">
        <f t="shared" si="1"/>
        <v>Poor</v>
      </c>
      <c r="I13" t="str">
        <f t="shared" si="2"/>
        <v>Medium</v>
      </c>
      <c r="J13" t="str">
        <f t="shared" si="3"/>
        <v>Medium</v>
      </c>
      <c r="K13">
        <f t="shared" si="4"/>
        <v>12</v>
      </c>
    </row>
    <row r="14" spans="1:11" x14ac:dyDescent="0.25">
      <c r="A14" t="s">
        <v>26</v>
      </c>
      <c r="B14">
        <v>2999</v>
      </c>
      <c r="C14">
        <v>3290</v>
      </c>
      <c r="D14" s="1">
        <v>0.09</v>
      </c>
      <c r="E14">
        <v>15</v>
      </c>
      <c r="F14">
        <v>4</v>
      </c>
      <c r="G14">
        <f t="shared" si="0"/>
        <v>291</v>
      </c>
      <c r="H14" t="str">
        <f t="shared" si="1"/>
        <v>Average</v>
      </c>
      <c r="I14" t="str">
        <f t="shared" si="2"/>
        <v>Low</v>
      </c>
      <c r="J14" t="str">
        <f t="shared" si="3"/>
        <v>High</v>
      </c>
      <c r="K14">
        <f t="shared" si="4"/>
        <v>13</v>
      </c>
    </row>
    <row r="15" spans="1:11" x14ac:dyDescent="0.25">
      <c r="A15" t="s">
        <v>198</v>
      </c>
      <c r="B15">
        <v>325</v>
      </c>
      <c r="C15">
        <v>680</v>
      </c>
      <c r="D15" s="1">
        <v>0.52</v>
      </c>
      <c r="E15">
        <v>15</v>
      </c>
      <c r="F15">
        <v>2.7</v>
      </c>
      <c r="G15">
        <f t="shared" si="0"/>
        <v>355</v>
      </c>
      <c r="H15" t="str">
        <f t="shared" si="1"/>
        <v>Poor</v>
      </c>
      <c r="I15" t="str">
        <f t="shared" si="2"/>
        <v>High</v>
      </c>
      <c r="J15" t="str">
        <f t="shared" si="3"/>
        <v>Low</v>
      </c>
      <c r="K15">
        <f t="shared" si="4"/>
        <v>14</v>
      </c>
    </row>
    <row r="16" spans="1:11" x14ac:dyDescent="0.25">
      <c r="A16" t="s">
        <v>10</v>
      </c>
      <c r="B16">
        <v>527</v>
      </c>
      <c r="C16">
        <v>999</v>
      </c>
      <c r="D16" s="1">
        <v>0.47</v>
      </c>
      <c r="E16">
        <v>14</v>
      </c>
      <c r="F16">
        <v>4.0999999999999996</v>
      </c>
      <c r="G16">
        <f t="shared" si="0"/>
        <v>472</v>
      </c>
      <c r="H16" t="str">
        <f t="shared" si="1"/>
        <v>Good</v>
      </c>
      <c r="I16" t="str">
        <f t="shared" si="2"/>
        <v>High</v>
      </c>
      <c r="J16" t="str">
        <f t="shared" si="3"/>
        <v>Medium</v>
      </c>
      <c r="K16">
        <f t="shared" si="4"/>
        <v>15</v>
      </c>
    </row>
    <row r="17" spans="1:11" x14ac:dyDescent="0.25">
      <c r="A17" t="s">
        <v>81</v>
      </c>
      <c r="B17">
        <v>1650</v>
      </c>
      <c r="C17">
        <v>2150</v>
      </c>
      <c r="D17" s="1">
        <v>0.23</v>
      </c>
      <c r="E17">
        <v>14</v>
      </c>
      <c r="F17">
        <v>4.4000000000000004</v>
      </c>
      <c r="G17">
        <f t="shared" si="0"/>
        <v>500</v>
      </c>
      <c r="H17" t="str">
        <f t="shared" si="1"/>
        <v>Good</v>
      </c>
      <c r="I17" t="str">
        <f t="shared" si="2"/>
        <v>Medium</v>
      </c>
      <c r="J17" t="str">
        <f t="shared" si="3"/>
        <v>Medium</v>
      </c>
      <c r="K17">
        <f t="shared" si="4"/>
        <v>16</v>
      </c>
    </row>
    <row r="18" spans="1:11" x14ac:dyDescent="0.25">
      <c r="A18" t="s">
        <v>71</v>
      </c>
      <c r="B18">
        <v>38</v>
      </c>
      <c r="C18">
        <v>80</v>
      </c>
      <c r="D18" s="1">
        <v>0.53</v>
      </c>
      <c r="E18">
        <v>13</v>
      </c>
      <c r="F18">
        <v>3.3</v>
      </c>
      <c r="G18">
        <f t="shared" si="0"/>
        <v>42</v>
      </c>
      <c r="H18" t="str">
        <f t="shared" si="1"/>
        <v>Average</v>
      </c>
      <c r="I18" t="str">
        <f t="shared" si="2"/>
        <v>High</v>
      </c>
      <c r="J18" t="str">
        <f t="shared" si="3"/>
        <v>Low</v>
      </c>
      <c r="K18">
        <f t="shared" si="4"/>
        <v>17</v>
      </c>
    </row>
    <row r="19" spans="1:11" x14ac:dyDescent="0.25">
      <c r="A19" t="s">
        <v>95</v>
      </c>
      <c r="B19">
        <v>1350</v>
      </c>
      <c r="C19">
        <v>1990</v>
      </c>
      <c r="D19" s="1">
        <v>0.32</v>
      </c>
      <c r="E19">
        <v>13</v>
      </c>
      <c r="F19">
        <v>3.8</v>
      </c>
      <c r="G19">
        <f t="shared" si="0"/>
        <v>640</v>
      </c>
      <c r="H19" t="str">
        <f t="shared" si="1"/>
        <v>Average</v>
      </c>
      <c r="I19" t="str">
        <f t="shared" si="2"/>
        <v>Medium</v>
      </c>
      <c r="J19" t="str">
        <f t="shared" si="3"/>
        <v>Medium</v>
      </c>
      <c r="K19">
        <f t="shared" si="4"/>
        <v>18</v>
      </c>
    </row>
    <row r="20" spans="1:11" x14ac:dyDescent="0.25">
      <c r="A20" t="s">
        <v>190</v>
      </c>
      <c r="B20">
        <v>2115</v>
      </c>
      <c r="C20">
        <v>4700</v>
      </c>
      <c r="D20" s="1">
        <v>0.55000000000000004</v>
      </c>
      <c r="E20">
        <v>13</v>
      </c>
      <c r="F20">
        <v>2.1</v>
      </c>
      <c r="G20">
        <f t="shared" si="0"/>
        <v>2585</v>
      </c>
      <c r="H20" t="str">
        <f t="shared" si="1"/>
        <v>Poor</v>
      </c>
      <c r="I20" t="str">
        <f t="shared" si="2"/>
        <v>High</v>
      </c>
      <c r="J20" t="str">
        <f t="shared" si="3"/>
        <v>High</v>
      </c>
      <c r="K20">
        <f t="shared" si="4"/>
        <v>19</v>
      </c>
    </row>
    <row r="21" spans="1:11" x14ac:dyDescent="0.25">
      <c r="A21" t="s">
        <v>42</v>
      </c>
      <c r="B21">
        <v>799</v>
      </c>
      <c r="C21">
        <v>999</v>
      </c>
      <c r="D21" s="1">
        <v>0.2</v>
      </c>
      <c r="E21">
        <v>12</v>
      </c>
      <c r="F21">
        <v>4.0999999999999996</v>
      </c>
      <c r="G21">
        <f t="shared" si="0"/>
        <v>200</v>
      </c>
      <c r="H21" t="str">
        <f t="shared" si="1"/>
        <v>Good</v>
      </c>
      <c r="I21" t="str">
        <f t="shared" si="2"/>
        <v>Medium</v>
      </c>
      <c r="J21" t="str">
        <f t="shared" si="3"/>
        <v>Medium</v>
      </c>
      <c r="K21">
        <f t="shared" si="4"/>
        <v>20</v>
      </c>
    </row>
    <row r="22" spans="1:11" x14ac:dyDescent="0.25">
      <c r="A22" t="s">
        <v>47</v>
      </c>
      <c r="B22">
        <v>552</v>
      </c>
      <c r="C22">
        <v>1035</v>
      </c>
      <c r="D22" s="1">
        <v>0.47</v>
      </c>
      <c r="E22">
        <v>12</v>
      </c>
      <c r="F22">
        <v>4.8</v>
      </c>
      <c r="G22">
        <f t="shared" si="0"/>
        <v>483</v>
      </c>
      <c r="H22" t="str">
        <f t="shared" si="1"/>
        <v>Excellent</v>
      </c>
      <c r="I22" t="str">
        <f t="shared" si="2"/>
        <v>High</v>
      </c>
      <c r="J22" t="str">
        <f t="shared" si="3"/>
        <v>Medium</v>
      </c>
      <c r="K22">
        <f t="shared" si="4"/>
        <v>21</v>
      </c>
    </row>
    <row r="23" spans="1:11" x14ac:dyDescent="0.25">
      <c r="A23" t="s">
        <v>92</v>
      </c>
      <c r="B23">
        <v>2880</v>
      </c>
      <c r="C23">
        <v>3520</v>
      </c>
      <c r="D23" s="1">
        <v>0.18</v>
      </c>
      <c r="E23">
        <v>12</v>
      </c>
      <c r="F23">
        <v>3.8</v>
      </c>
      <c r="G23">
        <f t="shared" si="0"/>
        <v>640</v>
      </c>
      <c r="H23" t="str">
        <f t="shared" si="1"/>
        <v>Average</v>
      </c>
      <c r="I23" t="str">
        <f t="shared" si="2"/>
        <v>Low</v>
      </c>
      <c r="J23" t="str">
        <f t="shared" si="3"/>
        <v>High</v>
      </c>
      <c r="K23">
        <f t="shared" si="4"/>
        <v>22</v>
      </c>
    </row>
    <row r="24" spans="1:11" x14ac:dyDescent="0.25">
      <c r="A24" t="s">
        <v>105</v>
      </c>
      <c r="B24">
        <v>980</v>
      </c>
      <c r="C24">
        <v>1490</v>
      </c>
      <c r="D24" s="1">
        <v>0.34</v>
      </c>
      <c r="E24">
        <v>12</v>
      </c>
      <c r="F24">
        <v>4.7</v>
      </c>
      <c r="G24">
        <f t="shared" si="0"/>
        <v>510</v>
      </c>
      <c r="H24" t="str">
        <f t="shared" si="1"/>
        <v>Excellent</v>
      </c>
      <c r="I24" t="str">
        <f t="shared" si="2"/>
        <v>Medium</v>
      </c>
      <c r="J24" t="str">
        <f t="shared" si="3"/>
        <v>Medium</v>
      </c>
      <c r="K24">
        <f t="shared" si="4"/>
        <v>23</v>
      </c>
    </row>
    <row r="25" spans="1:11" x14ac:dyDescent="0.25">
      <c r="A25" t="s">
        <v>186</v>
      </c>
      <c r="B25">
        <v>458</v>
      </c>
      <c r="C25">
        <v>986</v>
      </c>
      <c r="D25" s="1">
        <v>0.54</v>
      </c>
      <c r="E25">
        <v>10</v>
      </c>
      <c r="F25">
        <v>3</v>
      </c>
      <c r="G25">
        <f t="shared" si="0"/>
        <v>528</v>
      </c>
      <c r="H25" t="str">
        <f t="shared" si="1"/>
        <v>Average</v>
      </c>
      <c r="I25" t="str">
        <f t="shared" si="2"/>
        <v>High</v>
      </c>
      <c r="J25" t="str">
        <f t="shared" si="3"/>
        <v>Low</v>
      </c>
      <c r="K25">
        <f t="shared" si="4"/>
        <v>24</v>
      </c>
    </row>
    <row r="26" spans="1:11" x14ac:dyDescent="0.25">
      <c r="A26" t="s">
        <v>53</v>
      </c>
      <c r="B26">
        <v>1680</v>
      </c>
      <c r="C26">
        <v>2499</v>
      </c>
      <c r="D26" s="1">
        <v>0.33</v>
      </c>
      <c r="E26">
        <v>9</v>
      </c>
      <c r="F26">
        <v>4.2</v>
      </c>
      <c r="G26">
        <f t="shared" si="0"/>
        <v>819</v>
      </c>
      <c r="H26" t="str">
        <f t="shared" si="1"/>
        <v>Good</v>
      </c>
      <c r="I26" t="str">
        <f t="shared" si="2"/>
        <v>Medium</v>
      </c>
      <c r="J26" t="str">
        <f t="shared" si="3"/>
        <v>High</v>
      </c>
      <c r="K26">
        <f t="shared" si="4"/>
        <v>25</v>
      </c>
    </row>
    <row r="27" spans="1:11" x14ac:dyDescent="0.25">
      <c r="A27" t="s">
        <v>102</v>
      </c>
      <c r="B27">
        <v>185</v>
      </c>
      <c r="C27">
        <v>382</v>
      </c>
      <c r="D27" s="1">
        <v>0.52</v>
      </c>
      <c r="E27">
        <v>9</v>
      </c>
      <c r="F27">
        <v>4.3</v>
      </c>
      <c r="G27">
        <f t="shared" si="0"/>
        <v>197</v>
      </c>
      <c r="H27" t="str">
        <f t="shared" si="1"/>
        <v>Good</v>
      </c>
      <c r="I27" t="str">
        <f t="shared" si="2"/>
        <v>High</v>
      </c>
      <c r="J27" t="str">
        <f t="shared" si="3"/>
        <v>Low</v>
      </c>
      <c r="K27">
        <f t="shared" si="4"/>
        <v>26</v>
      </c>
    </row>
    <row r="28" spans="1:11" x14ac:dyDescent="0.25">
      <c r="A28" t="s">
        <v>108</v>
      </c>
      <c r="B28">
        <v>1820</v>
      </c>
      <c r="C28">
        <v>3490</v>
      </c>
      <c r="D28" s="1">
        <v>0.48</v>
      </c>
      <c r="E28">
        <v>9</v>
      </c>
      <c r="F28">
        <v>4.3</v>
      </c>
      <c r="G28">
        <f t="shared" si="0"/>
        <v>1670</v>
      </c>
      <c r="H28" t="str">
        <f t="shared" si="1"/>
        <v>Good</v>
      </c>
      <c r="I28" t="str">
        <f t="shared" si="2"/>
        <v>High</v>
      </c>
      <c r="J28" t="str">
        <f t="shared" si="3"/>
        <v>High</v>
      </c>
      <c r="K28">
        <f t="shared" si="4"/>
        <v>27</v>
      </c>
    </row>
    <row r="29" spans="1:11" x14ac:dyDescent="0.25">
      <c r="A29" t="s">
        <v>18</v>
      </c>
      <c r="B29">
        <v>1580</v>
      </c>
      <c r="C29">
        <v>2499</v>
      </c>
      <c r="D29" s="1">
        <v>0.37</v>
      </c>
      <c r="E29">
        <v>7</v>
      </c>
      <c r="F29">
        <v>4.7</v>
      </c>
      <c r="G29">
        <f t="shared" si="0"/>
        <v>919</v>
      </c>
      <c r="H29" t="str">
        <f t="shared" si="1"/>
        <v>Excellent</v>
      </c>
      <c r="I29" t="str">
        <f t="shared" si="2"/>
        <v>Medium</v>
      </c>
      <c r="J29" t="str">
        <f t="shared" si="3"/>
        <v>Medium</v>
      </c>
      <c r="K29">
        <f t="shared" si="4"/>
        <v>28</v>
      </c>
    </row>
    <row r="30" spans="1:11" x14ac:dyDescent="0.25">
      <c r="A30" t="s">
        <v>85</v>
      </c>
      <c r="B30">
        <v>2048</v>
      </c>
      <c r="C30">
        <v>4500</v>
      </c>
      <c r="D30" s="1">
        <v>0.54</v>
      </c>
      <c r="E30">
        <v>7</v>
      </c>
      <c r="F30">
        <v>4.3</v>
      </c>
      <c r="G30">
        <f t="shared" si="0"/>
        <v>2452</v>
      </c>
      <c r="H30" t="str">
        <f t="shared" si="1"/>
        <v>Good</v>
      </c>
      <c r="I30" t="str">
        <f t="shared" si="2"/>
        <v>High</v>
      </c>
      <c r="J30" t="str">
        <f t="shared" si="3"/>
        <v>High</v>
      </c>
      <c r="K30">
        <f t="shared" si="4"/>
        <v>29</v>
      </c>
    </row>
    <row r="31" spans="1:11" x14ac:dyDescent="0.25">
      <c r="A31" t="s">
        <v>209</v>
      </c>
      <c r="B31">
        <v>1000</v>
      </c>
      <c r="C31">
        <v>2000</v>
      </c>
      <c r="D31" s="1">
        <v>0.5</v>
      </c>
      <c r="E31">
        <v>7</v>
      </c>
      <c r="F31">
        <v>2.2999999999999998</v>
      </c>
      <c r="G31">
        <f t="shared" si="0"/>
        <v>1000</v>
      </c>
      <c r="H31" t="str">
        <f t="shared" si="1"/>
        <v>Poor</v>
      </c>
      <c r="I31" t="str">
        <f t="shared" si="2"/>
        <v>High</v>
      </c>
      <c r="J31" t="str">
        <f t="shared" si="3"/>
        <v>Medium</v>
      </c>
      <c r="K31">
        <f t="shared" si="4"/>
        <v>30</v>
      </c>
    </row>
    <row r="32" spans="1:11" x14ac:dyDescent="0.25">
      <c r="A32" t="s">
        <v>229</v>
      </c>
      <c r="B32">
        <v>1570</v>
      </c>
      <c r="C32">
        <v>2988</v>
      </c>
      <c r="D32" s="1">
        <v>0.47</v>
      </c>
      <c r="E32">
        <v>7</v>
      </c>
      <c r="F32">
        <v>2.1</v>
      </c>
      <c r="G32">
        <f t="shared" si="0"/>
        <v>1418</v>
      </c>
      <c r="H32" t="str">
        <f t="shared" si="1"/>
        <v>Poor</v>
      </c>
      <c r="I32" t="str">
        <f t="shared" si="2"/>
        <v>High</v>
      </c>
      <c r="J32" t="str">
        <f t="shared" si="3"/>
        <v>Medium</v>
      </c>
      <c r="K32">
        <f t="shared" si="4"/>
        <v>31</v>
      </c>
    </row>
    <row r="33" spans="1:11" x14ac:dyDescent="0.25">
      <c r="A33" t="s">
        <v>50</v>
      </c>
      <c r="B33">
        <v>501</v>
      </c>
      <c r="C33">
        <v>860</v>
      </c>
      <c r="D33" s="1">
        <v>0.42</v>
      </c>
      <c r="E33">
        <v>6</v>
      </c>
      <c r="F33">
        <v>4.5</v>
      </c>
      <c r="G33">
        <f t="shared" si="0"/>
        <v>359</v>
      </c>
      <c r="H33" t="str">
        <f t="shared" si="1"/>
        <v>Good</v>
      </c>
      <c r="I33" t="str">
        <f t="shared" si="2"/>
        <v>High</v>
      </c>
      <c r="J33" t="str">
        <f t="shared" si="3"/>
        <v>Medium</v>
      </c>
      <c r="K33">
        <f t="shared" si="4"/>
        <v>32</v>
      </c>
    </row>
    <row r="34" spans="1:11" x14ac:dyDescent="0.25">
      <c r="A34" t="s">
        <v>78</v>
      </c>
      <c r="B34">
        <v>880</v>
      </c>
      <c r="C34">
        <v>1350</v>
      </c>
      <c r="D34" s="1">
        <v>0.35</v>
      </c>
      <c r="E34">
        <v>6</v>
      </c>
      <c r="F34">
        <v>4</v>
      </c>
      <c r="G34">
        <f t="shared" ref="G34:G65" si="5">C34-B34</f>
        <v>470</v>
      </c>
      <c r="H34" t="str">
        <f t="shared" ref="H34:H65" si="6">IF(F34="","Not Rated",IF(F34&lt;3,"Poor",IF(F34&lt;=4,"Average",IF(F34&lt;=4.5,"Good","Excellent"))))</f>
        <v>Average</v>
      </c>
      <c r="I34" t="str">
        <f t="shared" ref="I34:I65" si="7">IF(D34&lt;20%,"Low",IF(D34&lt;=40%,"Medium","High"))</f>
        <v>Medium</v>
      </c>
      <c r="J34" t="str">
        <f t="shared" ref="J34:J65" si="8">IF(B34&lt;=493,"Low",IF(B34&lt;=1669.5,"Medium","High"))</f>
        <v>Medium</v>
      </c>
      <c r="K34">
        <f t="shared" si="4"/>
        <v>33</v>
      </c>
    </row>
    <row r="35" spans="1:11" x14ac:dyDescent="0.25">
      <c r="A35" t="s">
        <v>182</v>
      </c>
      <c r="B35">
        <v>2170</v>
      </c>
      <c r="C35">
        <v>2500</v>
      </c>
      <c r="D35" s="1">
        <v>0.13</v>
      </c>
      <c r="E35">
        <v>6</v>
      </c>
      <c r="F35">
        <v>2.5</v>
      </c>
      <c r="G35">
        <f t="shared" si="5"/>
        <v>330</v>
      </c>
      <c r="H35" t="str">
        <f t="shared" si="6"/>
        <v>Poor</v>
      </c>
      <c r="I35" t="str">
        <f t="shared" si="7"/>
        <v>Low</v>
      </c>
      <c r="J35" t="str">
        <f t="shared" si="8"/>
        <v>High</v>
      </c>
      <c r="K35">
        <f t="shared" si="4"/>
        <v>34</v>
      </c>
    </row>
    <row r="36" spans="1:11" x14ac:dyDescent="0.25">
      <c r="A36" t="s">
        <v>206</v>
      </c>
      <c r="B36">
        <v>990</v>
      </c>
      <c r="C36">
        <v>1814</v>
      </c>
      <c r="D36" s="1">
        <v>0.45</v>
      </c>
      <c r="E36">
        <v>6</v>
      </c>
      <c r="F36">
        <v>2.2000000000000002</v>
      </c>
      <c r="G36">
        <f t="shared" si="5"/>
        <v>824</v>
      </c>
      <c r="H36" t="str">
        <f t="shared" si="6"/>
        <v>Poor</v>
      </c>
      <c r="I36" t="str">
        <f t="shared" si="7"/>
        <v>High</v>
      </c>
      <c r="J36" t="str">
        <f t="shared" si="8"/>
        <v>Medium</v>
      </c>
      <c r="K36">
        <f t="shared" si="4"/>
        <v>35</v>
      </c>
    </row>
    <row r="37" spans="1:11" x14ac:dyDescent="0.25">
      <c r="A37" t="s">
        <v>221</v>
      </c>
      <c r="B37">
        <v>345</v>
      </c>
      <c r="C37">
        <v>602</v>
      </c>
      <c r="D37" s="1">
        <v>0.43</v>
      </c>
      <c r="E37">
        <v>6</v>
      </c>
      <c r="F37">
        <v>2.2999999999999998</v>
      </c>
      <c r="G37">
        <f t="shared" si="5"/>
        <v>257</v>
      </c>
      <c r="H37" t="str">
        <f t="shared" si="6"/>
        <v>Poor</v>
      </c>
      <c r="I37" t="str">
        <f t="shared" si="7"/>
        <v>High</v>
      </c>
      <c r="J37" t="str">
        <f t="shared" si="8"/>
        <v>Low</v>
      </c>
      <c r="K37">
        <f t="shared" si="4"/>
        <v>36</v>
      </c>
    </row>
    <row r="38" spans="1:11" x14ac:dyDescent="0.25">
      <c r="A38" t="s">
        <v>227</v>
      </c>
      <c r="B38">
        <v>968</v>
      </c>
      <c r="C38">
        <v>1814</v>
      </c>
      <c r="D38" s="1">
        <v>0.47</v>
      </c>
      <c r="E38">
        <v>6</v>
      </c>
      <c r="F38">
        <v>2.2000000000000002</v>
      </c>
      <c r="G38">
        <f t="shared" si="5"/>
        <v>846</v>
      </c>
      <c r="H38" t="str">
        <f t="shared" si="6"/>
        <v>Poor</v>
      </c>
      <c r="I38" t="str">
        <f t="shared" si="7"/>
        <v>High</v>
      </c>
      <c r="J38" t="str">
        <f t="shared" si="8"/>
        <v>Medium</v>
      </c>
      <c r="K38">
        <f t="shared" si="4"/>
        <v>37</v>
      </c>
    </row>
    <row r="39" spans="1:11" x14ac:dyDescent="0.25">
      <c r="A39" t="s">
        <v>22</v>
      </c>
      <c r="B39">
        <v>1740</v>
      </c>
      <c r="C39">
        <v>2356</v>
      </c>
      <c r="D39" s="1">
        <v>0.26</v>
      </c>
      <c r="E39">
        <v>5</v>
      </c>
      <c r="F39">
        <v>4.8</v>
      </c>
      <c r="G39">
        <f t="shared" si="5"/>
        <v>616</v>
      </c>
      <c r="H39" t="str">
        <f t="shared" si="6"/>
        <v>Excellent</v>
      </c>
      <c r="I39" t="str">
        <f t="shared" si="7"/>
        <v>Medium</v>
      </c>
      <c r="J39" t="str">
        <f t="shared" si="8"/>
        <v>High</v>
      </c>
      <c r="K39">
        <f t="shared" si="4"/>
        <v>38</v>
      </c>
    </row>
    <row r="40" spans="1:11" x14ac:dyDescent="0.25">
      <c r="A40" t="s">
        <v>35</v>
      </c>
      <c r="B40">
        <v>1274</v>
      </c>
      <c r="C40">
        <v>2800</v>
      </c>
      <c r="D40" s="1">
        <v>0.55000000000000004</v>
      </c>
      <c r="E40">
        <v>5</v>
      </c>
      <c r="F40">
        <v>4.8</v>
      </c>
      <c r="G40">
        <f t="shared" si="5"/>
        <v>1526</v>
      </c>
      <c r="H40" t="str">
        <f t="shared" si="6"/>
        <v>Excellent</v>
      </c>
      <c r="I40" t="str">
        <f t="shared" si="7"/>
        <v>High</v>
      </c>
      <c r="J40" t="str">
        <f t="shared" si="8"/>
        <v>Medium</v>
      </c>
      <c r="K40">
        <f t="shared" si="4"/>
        <v>39</v>
      </c>
    </row>
    <row r="41" spans="1:11" x14ac:dyDescent="0.25">
      <c r="A41" t="s">
        <v>38</v>
      </c>
      <c r="B41">
        <v>1600</v>
      </c>
      <c r="C41">
        <v>2929</v>
      </c>
      <c r="D41" s="1">
        <v>0.45</v>
      </c>
      <c r="E41">
        <v>5</v>
      </c>
      <c r="F41">
        <v>3.8</v>
      </c>
      <c r="G41">
        <f t="shared" si="5"/>
        <v>1329</v>
      </c>
      <c r="H41" t="str">
        <f t="shared" si="6"/>
        <v>Average</v>
      </c>
      <c r="I41" t="str">
        <f t="shared" si="7"/>
        <v>High</v>
      </c>
      <c r="J41" t="str">
        <f t="shared" si="8"/>
        <v>Medium</v>
      </c>
      <c r="K41">
        <f t="shared" si="4"/>
        <v>40</v>
      </c>
    </row>
    <row r="42" spans="1:11" x14ac:dyDescent="0.25">
      <c r="A42" t="s">
        <v>66</v>
      </c>
      <c r="B42">
        <v>2999</v>
      </c>
      <c r="C42">
        <v>3699</v>
      </c>
      <c r="D42" s="1">
        <v>0.19</v>
      </c>
      <c r="E42">
        <v>5</v>
      </c>
      <c r="F42">
        <v>4.5999999999999996</v>
      </c>
      <c r="G42">
        <f t="shared" si="5"/>
        <v>700</v>
      </c>
      <c r="H42" t="str">
        <f t="shared" si="6"/>
        <v>Excellent</v>
      </c>
      <c r="I42" t="str">
        <f t="shared" si="7"/>
        <v>Low</v>
      </c>
      <c r="J42" t="str">
        <f t="shared" si="8"/>
        <v>High</v>
      </c>
      <c r="K42">
        <f t="shared" si="4"/>
        <v>41</v>
      </c>
    </row>
    <row r="43" spans="1:11" x14ac:dyDescent="0.25">
      <c r="A43" t="s">
        <v>212</v>
      </c>
      <c r="B43">
        <v>3750</v>
      </c>
      <c r="C43">
        <v>6143</v>
      </c>
      <c r="D43" s="1">
        <v>0.39</v>
      </c>
      <c r="E43">
        <v>5</v>
      </c>
      <c r="F43">
        <v>3</v>
      </c>
      <c r="G43">
        <f t="shared" si="5"/>
        <v>2393</v>
      </c>
      <c r="H43" t="str">
        <f t="shared" si="6"/>
        <v>Average</v>
      </c>
      <c r="I43" t="str">
        <f t="shared" si="7"/>
        <v>Medium</v>
      </c>
      <c r="J43" t="str">
        <f t="shared" si="8"/>
        <v>High</v>
      </c>
      <c r="K43">
        <f t="shared" si="4"/>
        <v>42</v>
      </c>
    </row>
    <row r="44" spans="1:11" x14ac:dyDescent="0.25">
      <c r="A44" t="s">
        <v>218</v>
      </c>
      <c r="B44">
        <v>2300</v>
      </c>
      <c r="C44">
        <v>3240</v>
      </c>
      <c r="D44" s="1">
        <v>0.28999999999999998</v>
      </c>
      <c r="E44">
        <v>5</v>
      </c>
      <c r="F44">
        <v>3</v>
      </c>
      <c r="G44">
        <f t="shared" si="5"/>
        <v>940</v>
      </c>
      <c r="H44" t="str">
        <f t="shared" si="6"/>
        <v>Average</v>
      </c>
      <c r="I44" t="str">
        <f t="shared" si="7"/>
        <v>Medium</v>
      </c>
      <c r="J44" t="str">
        <f t="shared" si="8"/>
        <v>High</v>
      </c>
      <c r="K44">
        <f t="shared" si="4"/>
        <v>43</v>
      </c>
    </row>
    <row r="45" spans="1:11" x14ac:dyDescent="0.25">
      <c r="A45" t="s">
        <v>224</v>
      </c>
      <c r="B45">
        <v>509</v>
      </c>
      <c r="C45">
        <v>899</v>
      </c>
      <c r="D45" s="1">
        <v>0.43</v>
      </c>
      <c r="E45">
        <v>5</v>
      </c>
      <c r="F45">
        <v>3</v>
      </c>
      <c r="G45">
        <f t="shared" si="5"/>
        <v>390</v>
      </c>
      <c r="H45" t="str">
        <f t="shared" si="6"/>
        <v>Average</v>
      </c>
      <c r="I45" t="str">
        <f t="shared" si="7"/>
        <v>High</v>
      </c>
      <c r="J45" t="str">
        <f t="shared" si="8"/>
        <v>Medium</v>
      </c>
      <c r="K45">
        <f t="shared" si="4"/>
        <v>44</v>
      </c>
    </row>
    <row r="46" spans="1:11" x14ac:dyDescent="0.25">
      <c r="A46" t="s">
        <v>63</v>
      </c>
      <c r="B46">
        <v>2025</v>
      </c>
      <c r="C46">
        <v>3971</v>
      </c>
      <c r="D46" s="1">
        <v>0.49</v>
      </c>
      <c r="E46">
        <v>3</v>
      </c>
      <c r="F46">
        <v>5</v>
      </c>
      <c r="G46">
        <f t="shared" si="5"/>
        <v>1946</v>
      </c>
      <c r="H46" t="str">
        <f t="shared" si="6"/>
        <v>Excellent</v>
      </c>
      <c r="I46" t="str">
        <f t="shared" si="7"/>
        <v>High</v>
      </c>
      <c r="J46" t="str">
        <f t="shared" si="8"/>
        <v>High</v>
      </c>
      <c r="K46">
        <f t="shared" si="4"/>
        <v>45</v>
      </c>
    </row>
    <row r="47" spans="1:11" x14ac:dyDescent="0.25">
      <c r="A47" t="s">
        <v>6</v>
      </c>
      <c r="B47">
        <v>950</v>
      </c>
      <c r="C47">
        <v>1525</v>
      </c>
      <c r="D47" s="1">
        <v>0.38</v>
      </c>
      <c r="E47">
        <v>2</v>
      </c>
      <c r="F47">
        <v>4.5</v>
      </c>
      <c r="G47">
        <f t="shared" si="5"/>
        <v>575</v>
      </c>
      <c r="H47" t="str">
        <f t="shared" si="6"/>
        <v>Good</v>
      </c>
      <c r="I47" t="str">
        <f t="shared" si="7"/>
        <v>Medium</v>
      </c>
      <c r="J47" t="str">
        <f t="shared" si="8"/>
        <v>Medium</v>
      </c>
      <c r="K47">
        <f t="shared" si="4"/>
        <v>46</v>
      </c>
    </row>
    <row r="48" spans="1:11" x14ac:dyDescent="0.25">
      <c r="A48" t="s">
        <v>33</v>
      </c>
      <c r="B48">
        <v>988</v>
      </c>
      <c r="C48">
        <v>1580</v>
      </c>
      <c r="D48" s="1">
        <v>0.37</v>
      </c>
      <c r="E48">
        <v>2</v>
      </c>
      <c r="F48">
        <v>4</v>
      </c>
      <c r="G48">
        <f t="shared" si="5"/>
        <v>592</v>
      </c>
      <c r="H48" t="str">
        <f t="shared" si="6"/>
        <v>Average</v>
      </c>
      <c r="I48" t="str">
        <f t="shared" si="7"/>
        <v>Medium</v>
      </c>
      <c r="J48" t="str">
        <f t="shared" si="8"/>
        <v>Medium</v>
      </c>
      <c r="K48">
        <f t="shared" si="4"/>
        <v>47</v>
      </c>
    </row>
    <row r="49" spans="1:11" x14ac:dyDescent="0.25">
      <c r="A49" t="s">
        <v>56</v>
      </c>
      <c r="B49">
        <v>332</v>
      </c>
      <c r="C49">
        <v>684</v>
      </c>
      <c r="D49" s="1">
        <v>0.51</v>
      </c>
      <c r="E49">
        <v>2</v>
      </c>
      <c r="F49">
        <v>5</v>
      </c>
      <c r="G49">
        <f t="shared" si="5"/>
        <v>352</v>
      </c>
      <c r="H49" t="str">
        <f t="shared" si="6"/>
        <v>Excellent</v>
      </c>
      <c r="I49" t="str">
        <f t="shared" si="7"/>
        <v>High</v>
      </c>
      <c r="J49" t="str">
        <f t="shared" si="8"/>
        <v>Low</v>
      </c>
      <c r="K49">
        <f t="shared" si="4"/>
        <v>48</v>
      </c>
    </row>
    <row r="50" spans="1:11" x14ac:dyDescent="0.25">
      <c r="A50" t="s">
        <v>60</v>
      </c>
      <c r="B50">
        <v>195</v>
      </c>
      <c r="C50">
        <v>360</v>
      </c>
      <c r="D50" s="1">
        <v>0.46</v>
      </c>
      <c r="E50">
        <v>2</v>
      </c>
      <c r="F50">
        <v>5</v>
      </c>
      <c r="G50">
        <f t="shared" si="5"/>
        <v>165</v>
      </c>
      <c r="H50" t="str">
        <f t="shared" si="6"/>
        <v>Excellent</v>
      </c>
      <c r="I50" t="str">
        <f t="shared" si="7"/>
        <v>High</v>
      </c>
      <c r="J50" t="str">
        <f t="shared" si="8"/>
        <v>Low</v>
      </c>
      <c r="K50">
        <f t="shared" si="4"/>
        <v>49</v>
      </c>
    </row>
    <row r="51" spans="1:11" x14ac:dyDescent="0.25">
      <c r="A51" t="s">
        <v>120</v>
      </c>
      <c r="B51">
        <v>171</v>
      </c>
      <c r="C51">
        <v>360</v>
      </c>
      <c r="D51" s="1">
        <v>0.53</v>
      </c>
      <c r="E51">
        <v>2</v>
      </c>
      <c r="F51">
        <v>5</v>
      </c>
      <c r="G51">
        <f t="shared" si="5"/>
        <v>189</v>
      </c>
      <c r="H51" t="str">
        <f t="shared" si="6"/>
        <v>Excellent</v>
      </c>
      <c r="I51" t="str">
        <f t="shared" si="7"/>
        <v>High</v>
      </c>
      <c r="J51" t="str">
        <f t="shared" si="8"/>
        <v>Low</v>
      </c>
      <c r="K51">
        <f t="shared" si="4"/>
        <v>50</v>
      </c>
    </row>
    <row r="52" spans="1:11" x14ac:dyDescent="0.25">
      <c r="A52" t="s">
        <v>125</v>
      </c>
      <c r="B52">
        <v>1800</v>
      </c>
      <c r="C52">
        <v>2700</v>
      </c>
      <c r="D52" s="1">
        <v>0.38</v>
      </c>
      <c r="E52">
        <v>2</v>
      </c>
      <c r="F52">
        <v>4.5</v>
      </c>
      <c r="G52">
        <f t="shared" si="5"/>
        <v>900</v>
      </c>
      <c r="H52" t="str">
        <f t="shared" si="6"/>
        <v>Good</v>
      </c>
      <c r="I52" t="str">
        <f t="shared" si="7"/>
        <v>Medium</v>
      </c>
      <c r="J52" t="str">
        <f t="shared" si="8"/>
        <v>High</v>
      </c>
      <c r="K52">
        <f t="shared" si="4"/>
        <v>51</v>
      </c>
    </row>
    <row r="53" spans="1:11" x14ac:dyDescent="0.25">
      <c r="A53" t="s">
        <v>117</v>
      </c>
      <c r="B53">
        <v>1620</v>
      </c>
      <c r="C53">
        <v>2690</v>
      </c>
      <c r="D53" s="1">
        <v>0.4</v>
      </c>
      <c r="E53">
        <v>1</v>
      </c>
      <c r="F53">
        <v>5</v>
      </c>
      <c r="G53">
        <f t="shared" si="5"/>
        <v>1070</v>
      </c>
      <c r="H53" t="str">
        <f t="shared" si="6"/>
        <v>Excellent</v>
      </c>
      <c r="I53" t="str">
        <f t="shared" si="7"/>
        <v>Medium</v>
      </c>
      <c r="J53" t="str">
        <f t="shared" si="8"/>
        <v>Medium</v>
      </c>
      <c r="K53">
        <f t="shared" si="4"/>
        <v>52</v>
      </c>
    </row>
    <row r="54" spans="1:11" x14ac:dyDescent="0.25">
      <c r="A54" t="s">
        <v>243</v>
      </c>
      <c r="B54">
        <v>1189</v>
      </c>
      <c r="C54">
        <v>2199</v>
      </c>
      <c r="D54" s="1">
        <v>0.46</v>
      </c>
      <c r="E54">
        <v>1</v>
      </c>
      <c r="F54">
        <v>3</v>
      </c>
      <c r="G54">
        <f t="shared" si="5"/>
        <v>1010</v>
      </c>
      <c r="H54" t="str">
        <f t="shared" si="6"/>
        <v>Average</v>
      </c>
      <c r="I54" t="str">
        <f t="shared" si="7"/>
        <v>High</v>
      </c>
      <c r="J54" t="str">
        <f t="shared" si="8"/>
        <v>Medium</v>
      </c>
      <c r="K54">
        <f t="shared" si="4"/>
        <v>53</v>
      </c>
    </row>
    <row r="55" spans="1:11" x14ac:dyDescent="0.25">
      <c r="A55" t="s">
        <v>245</v>
      </c>
      <c r="B55">
        <v>979</v>
      </c>
      <c r="C55">
        <v>1920</v>
      </c>
      <c r="D55" s="1">
        <v>0.49</v>
      </c>
      <c r="E55">
        <v>1</v>
      </c>
      <c r="F55">
        <v>5</v>
      </c>
      <c r="G55">
        <f t="shared" si="5"/>
        <v>941</v>
      </c>
      <c r="H55" t="str">
        <f t="shared" si="6"/>
        <v>Excellent</v>
      </c>
      <c r="I55" t="str">
        <f t="shared" si="7"/>
        <v>High</v>
      </c>
      <c r="J55" t="str">
        <f t="shared" si="8"/>
        <v>Medium</v>
      </c>
      <c r="K55">
        <f t="shared" si="4"/>
        <v>54</v>
      </c>
    </row>
    <row r="56" spans="1:11" x14ac:dyDescent="0.25">
      <c r="A56" t="s">
        <v>253</v>
      </c>
      <c r="B56">
        <v>330</v>
      </c>
      <c r="C56">
        <v>647</v>
      </c>
      <c r="D56" s="1">
        <v>0.49</v>
      </c>
      <c r="E56">
        <v>1</v>
      </c>
      <c r="F56">
        <v>4</v>
      </c>
      <c r="G56">
        <f t="shared" si="5"/>
        <v>317</v>
      </c>
      <c r="H56" t="str">
        <f t="shared" si="6"/>
        <v>Average</v>
      </c>
      <c r="I56" t="str">
        <f t="shared" si="7"/>
        <v>High</v>
      </c>
      <c r="J56" t="str">
        <f t="shared" si="8"/>
        <v>Low</v>
      </c>
      <c r="K56">
        <f t="shared" si="4"/>
        <v>55</v>
      </c>
    </row>
    <row r="57" spans="1:11" x14ac:dyDescent="0.25">
      <c r="A57" t="s">
        <v>295</v>
      </c>
      <c r="B57">
        <v>3640</v>
      </c>
      <c r="C57">
        <v>4588</v>
      </c>
      <c r="D57" s="1">
        <v>0.21</v>
      </c>
      <c r="E57">
        <v>1</v>
      </c>
      <c r="F57">
        <v>5</v>
      </c>
      <c r="G57">
        <f t="shared" si="5"/>
        <v>948</v>
      </c>
      <c r="H57" t="str">
        <f t="shared" si="6"/>
        <v>Excellent</v>
      </c>
      <c r="I57" t="str">
        <f t="shared" si="7"/>
        <v>Medium</v>
      </c>
      <c r="J57" t="str">
        <f t="shared" si="8"/>
        <v>High</v>
      </c>
      <c r="K57">
        <f t="shared" si="4"/>
        <v>56</v>
      </c>
    </row>
    <row r="58" spans="1:11" x14ac:dyDescent="0.25">
      <c r="A58" t="s">
        <v>318</v>
      </c>
      <c r="B58">
        <v>450</v>
      </c>
      <c r="C58">
        <v>900</v>
      </c>
      <c r="D58" s="1">
        <v>0.5</v>
      </c>
      <c r="E58">
        <v>1</v>
      </c>
      <c r="F58">
        <v>2</v>
      </c>
      <c r="G58">
        <f t="shared" si="5"/>
        <v>450</v>
      </c>
      <c r="H58" t="str">
        <f t="shared" si="6"/>
        <v>Poor</v>
      </c>
      <c r="I58" t="str">
        <f t="shared" si="7"/>
        <v>High</v>
      </c>
      <c r="J58" t="str">
        <f t="shared" si="8"/>
        <v>Low</v>
      </c>
      <c r="K58">
        <f t="shared" si="4"/>
        <v>57</v>
      </c>
    </row>
    <row r="59" spans="1:11" x14ac:dyDescent="0.25">
      <c r="A59" t="s">
        <v>75</v>
      </c>
      <c r="B59">
        <v>1860</v>
      </c>
      <c r="C59">
        <v>3220</v>
      </c>
      <c r="D59" s="1">
        <v>0.42</v>
      </c>
      <c r="E59">
        <v>0</v>
      </c>
      <c r="F59" t="s">
        <v>352</v>
      </c>
      <c r="G59">
        <f t="shared" si="5"/>
        <v>1360</v>
      </c>
      <c r="H59" t="str">
        <f t="shared" si="6"/>
        <v>Not Rated</v>
      </c>
      <c r="I59" t="str">
        <f t="shared" si="7"/>
        <v>High</v>
      </c>
      <c r="J59" t="str">
        <f t="shared" si="8"/>
        <v>High</v>
      </c>
      <c r="K59">
        <f t="shared" si="4"/>
        <v>58</v>
      </c>
    </row>
    <row r="60" spans="1:11" x14ac:dyDescent="0.25">
      <c r="A60" t="s">
        <v>99</v>
      </c>
      <c r="B60">
        <v>2200</v>
      </c>
      <c r="C60">
        <v>4080</v>
      </c>
      <c r="D60" s="1">
        <v>0.46</v>
      </c>
      <c r="E60">
        <v>0</v>
      </c>
      <c r="F60" t="s">
        <v>352</v>
      </c>
      <c r="G60">
        <f t="shared" si="5"/>
        <v>1880</v>
      </c>
      <c r="H60" t="str">
        <f t="shared" si="6"/>
        <v>Not Rated</v>
      </c>
      <c r="I60" t="str">
        <f t="shared" si="7"/>
        <v>High</v>
      </c>
      <c r="J60" t="str">
        <f t="shared" si="8"/>
        <v>High</v>
      </c>
      <c r="K60">
        <f t="shared" si="4"/>
        <v>59</v>
      </c>
    </row>
    <row r="61" spans="1:11" x14ac:dyDescent="0.25">
      <c r="A61" t="s">
        <v>128</v>
      </c>
      <c r="B61">
        <v>2750</v>
      </c>
      <c r="C61">
        <v>4471</v>
      </c>
      <c r="D61" s="1">
        <v>0.38</v>
      </c>
      <c r="E61">
        <v>0</v>
      </c>
      <c r="F61" t="s">
        <v>352</v>
      </c>
      <c r="G61">
        <f t="shared" si="5"/>
        <v>1721</v>
      </c>
      <c r="H61" t="str">
        <f t="shared" si="6"/>
        <v>Not Rated</v>
      </c>
      <c r="I61" t="str">
        <f t="shared" si="7"/>
        <v>Medium</v>
      </c>
      <c r="J61" t="str">
        <f t="shared" si="8"/>
        <v>High</v>
      </c>
      <c r="K61">
        <f t="shared" si="4"/>
        <v>60</v>
      </c>
    </row>
    <row r="62" spans="1:11" x14ac:dyDescent="0.25">
      <c r="A62" t="s">
        <v>131</v>
      </c>
      <c r="B62">
        <v>475</v>
      </c>
      <c r="C62">
        <v>931</v>
      </c>
      <c r="D62" s="1">
        <v>0.49</v>
      </c>
      <c r="E62">
        <v>0</v>
      </c>
      <c r="F62" t="s">
        <v>352</v>
      </c>
      <c r="G62">
        <f t="shared" si="5"/>
        <v>456</v>
      </c>
      <c r="H62" t="str">
        <f t="shared" si="6"/>
        <v>Not Rated</v>
      </c>
      <c r="I62" t="str">
        <f t="shared" si="7"/>
        <v>High</v>
      </c>
      <c r="J62" t="str">
        <f t="shared" si="8"/>
        <v>Low</v>
      </c>
      <c r="K62">
        <f t="shared" si="4"/>
        <v>61</v>
      </c>
    </row>
    <row r="63" spans="1:11" x14ac:dyDescent="0.25">
      <c r="A63" t="s">
        <v>134</v>
      </c>
      <c r="B63">
        <v>238</v>
      </c>
      <c r="C63">
        <v>476</v>
      </c>
      <c r="D63" s="1">
        <v>0.5</v>
      </c>
      <c r="E63">
        <v>0</v>
      </c>
      <c r="F63" t="s">
        <v>352</v>
      </c>
      <c r="G63">
        <f t="shared" si="5"/>
        <v>238</v>
      </c>
      <c r="H63" t="str">
        <f t="shared" si="6"/>
        <v>Not Rated</v>
      </c>
      <c r="I63" t="str">
        <f t="shared" si="7"/>
        <v>High</v>
      </c>
      <c r="J63" t="str">
        <f t="shared" si="8"/>
        <v>Low</v>
      </c>
      <c r="K63">
        <f t="shared" si="4"/>
        <v>62</v>
      </c>
    </row>
    <row r="64" spans="1:11" x14ac:dyDescent="0.25">
      <c r="A64" t="s">
        <v>137</v>
      </c>
      <c r="B64">
        <v>610</v>
      </c>
      <c r="C64">
        <v>1060</v>
      </c>
      <c r="D64" s="1">
        <v>0.42</v>
      </c>
      <c r="E64">
        <v>0</v>
      </c>
      <c r="F64" t="s">
        <v>352</v>
      </c>
      <c r="G64">
        <f t="shared" si="5"/>
        <v>450</v>
      </c>
      <c r="H64" t="str">
        <f t="shared" si="6"/>
        <v>Not Rated</v>
      </c>
      <c r="I64" t="str">
        <f t="shared" si="7"/>
        <v>High</v>
      </c>
      <c r="J64" t="str">
        <f t="shared" si="8"/>
        <v>Medium</v>
      </c>
      <c r="K64">
        <f t="shared" si="4"/>
        <v>63</v>
      </c>
    </row>
    <row r="65" spans="1:11" x14ac:dyDescent="0.25">
      <c r="A65" t="s">
        <v>140</v>
      </c>
      <c r="B65">
        <v>2132</v>
      </c>
      <c r="C65">
        <v>2169</v>
      </c>
      <c r="D65" s="1">
        <v>0.02</v>
      </c>
      <c r="E65">
        <v>0</v>
      </c>
      <c r="F65" t="s">
        <v>352</v>
      </c>
      <c r="G65">
        <f t="shared" si="5"/>
        <v>37</v>
      </c>
      <c r="H65" t="str">
        <f t="shared" si="6"/>
        <v>Not Rated</v>
      </c>
      <c r="I65" t="str">
        <f t="shared" si="7"/>
        <v>Low</v>
      </c>
      <c r="J65" t="str">
        <f t="shared" si="8"/>
        <v>High</v>
      </c>
      <c r="K65">
        <f t="shared" si="4"/>
        <v>64</v>
      </c>
    </row>
    <row r="66" spans="1:11" x14ac:dyDescent="0.25">
      <c r="A66" t="s">
        <v>143</v>
      </c>
      <c r="B66">
        <v>999</v>
      </c>
      <c r="C66">
        <v>2000</v>
      </c>
      <c r="D66" s="1">
        <v>0.5</v>
      </c>
      <c r="E66">
        <v>0</v>
      </c>
      <c r="F66" t="s">
        <v>352</v>
      </c>
      <c r="G66">
        <f t="shared" ref="G66:G97" si="9">C66-B66</f>
        <v>1001</v>
      </c>
      <c r="H66" t="str">
        <f t="shared" ref="H66:H97" si="10">IF(F66="","Not Rated",IF(F66&lt;3,"Poor",IF(F66&lt;=4,"Average",IF(F66&lt;=4.5,"Good","Excellent"))))</f>
        <v>Not Rated</v>
      </c>
      <c r="I66" t="str">
        <f t="shared" ref="I66:I97" si="11">IF(D66&lt;20%,"Low",IF(D66&lt;=40%,"Medium","High"))</f>
        <v>High</v>
      </c>
      <c r="J66" t="str">
        <f t="shared" ref="J66:J97" si="12">IF(B66&lt;=493,"Low",IF(B66&lt;=1669.5,"Medium","High"))</f>
        <v>Medium</v>
      </c>
      <c r="K66">
        <f t="shared" si="4"/>
        <v>65</v>
      </c>
    </row>
    <row r="67" spans="1:11" x14ac:dyDescent="0.25">
      <c r="A67" t="s">
        <v>145</v>
      </c>
      <c r="B67">
        <v>1190</v>
      </c>
      <c r="C67">
        <v>1785</v>
      </c>
      <c r="D67" s="1">
        <v>0.33</v>
      </c>
      <c r="E67">
        <v>0</v>
      </c>
      <c r="F67" t="s">
        <v>352</v>
      </c>
      <c r="G67">
        <f t="shared" si="9"/>
        <v>595</v>
      </c>
      <c r="H67" t="str">
        <f t="shared" si="10"/>
        <v>Not Rated</v>
      </c>
      <c r="I67" t="str">
        <f t="shared" si="11"/>
        <v>Medium</v>
      </c>
      <c r="J67" t="str">
        <f t="shared" si="12"/>
        <v>Medium</v>
      </c>
      <c r="K67">
        <f t="shared" ref="K67:K113" si="13">ROW()-1</f>
        <v>66</v>
      </c>
    </row>
    <row r="68" spans="1:11" x14ac:dyDescent="0.25">
      <c r="A68" t="s">
        <v>148</v>
      </c>
      <c r="B68">
        <v>671</v>
      </c>
      <c r="C68">
        <v>1316</v>
      </c>
      <c r="D68" s="1">
        <v>0.49</v>
      </c>
      <c r="E68">
        <v>0</v>
      </c>
      <c r="F68" t="s">
        <v>352</v>
      </c>
      <c r="G68">
        <f t="shared" si="9"/>
        <v>645</v>
      </c>
      <c r="H68" t="str">
        <f t="shared" si="10"/>
        <v>Not Rated</v>
      </c>
      <c r="I68" t="str">
        <f t="shared" si="11"/>
        <v>High</v>
      </c>
      <c r="J68" t="str">
        <f t="shared" si="12"/>
        <v>Medium</v>
      </c>
      <c r="K68">
        <f t="shared" si="13"/>
        <v>67</v>
      </c>
    </row>
    <row r="69" spans="1:11" x14ac:dyDescent="0.25">
      <c r="A69" t="s">
        <v>151</v>
      </c>
      <c r="B69">
        <v>1200</v>
      </c>
      <c r="C69">
        <v>1950</v>
      </c>
      <c r="D69" s="1">
        <v>0.38</v>
      </c>
      <c r="E69">
        <v>0</v>
      </c>
      <c r="F69" t="s">
        <v>352</v>
      </c>
      <c r="G69">
        <f t="shared" si="9"/>
        <v>750</v>
      </c>
      <c r="H69" t="str">
        <f t="shared" si="10"/>
        <v>Not Rated</v>
      </c>
      <c r="I69" t="str">
        <f t="shared" si="11"/>
        <v>Medium</v>
      </c>
      <c r="J69" t="str">
        <f t="shared" si="12"/>
        <v>Medium</v>
      </c>
      <c r="K69">
        <f t="shared" si="13"/>
        <v>68</v>
      </c>
    </row>
    <row r="70" spans="1:11" x14ac:dyDescent="0.25">
      <c r="A70" t="s">
        <v>154</v>
      </c>
      <c r="B70">
        <v>199</v>
      </c>
      <c r="C70">
        <v>504</v>
      </c>
      <c r="D70" s="1">
        <v>0.61</v>
      </c>
      <c r="E70">
        <v>0</v>
      </c>
      <c r="F70" t="s">
        <v>352</v>
      </c>
      <c r="G70">
        <f t="shared" si="9"/>
        <v>305</v>
      </c>
      <c r="H70" t="str">
        <f t="shared" si="10"/>
        <v>Not Rated</v>
      </c>
      <c r="I70" t="str">
        <f t="shared" si="11"/>
        <v>High</v>
      </c>
      <c r="J70" t="str">
        <f t="shared" si="12"/>
        <v>Low</v>
      </c>
      <c r="K70">
        <f t="shared" si="13"/>
        <v>69</v>
      </c>
    </row>
    <row r="71" spans="1:11" x14ac:dyDescent="0.25">
      <c r="A71" t="s">
        <v>157</v>
      </c>
      <c r="B71">
        <v>299</v>
      </c>
      <c r="C71">
        <v>600</v>
      </c>
      <c r="D71" s="1">
        <v>0.5</v>
      </c>
      <c r="E71">
        <v>0</v>
      </c>
      <c r="F71" t="s">
        <v>352</v>
      </c>
      <c r="G71">
        <f t="shared" si="9"/>
        <v>301</v>
      </c>
      <c r="H71" t="str">
        <f t="shared" si="10"/>
        <v>Not Rated</v>
      </c>
      <c r="I71" t="str">
        <f t="shared" si="11"/>
        <v>High</v>
      </c>
      <c r="J71" t="str">
        <f t="shared" si="12"/>
        <v>Low</v>
      </c>
      <c r="K71">
        <f t="shared" si="13"/>
        <v>70</v>
      </c>
    </row>
    <row r="72" spans="1:11" x14ac:dyDescent="0.25">
      <c r="A72" t="s">
        <v>160</v>
      </c>
      <c r="B72">
        <v>1660</v>
      </c>
      <c r="C72">
        <v>1699</v>
      </c>
      <c r="D72" s="1">
        <v>0.02</v>
      </c>
      <c r="E72">
        <v>0</v>
      </c>
      <c r="F72" t="s">
        <v>352</v>
      </c>
      <c r="G72">
        <f t="shared" si="9"/>
        <v>39</v>
      </c>
      <c r="H72" t="str">
        <f t="shared" si="10"/>
        <v>Not Rated</v>
      </c>
      <c r="I72" t="str">
        <f t="shared" si="11"/>
        <v>Low</v>
      </c>
      <c r="J72" t="str">
        <f t="shared" si="12"/>
        <v>Medium</v>
      </c>
      <c r="K72">
        <f t="shared" si="13"/>
        <v>71</v>
      </c>
    </row>
    <row r="73" spans="1:11" x14ac:dyDescent="0.25">
      <c r="A73" t="s">
        <v>163</v>
      </c>
      <c r="B73">
        <v>299</v>
      </c>
      <c r="C73">
        <v>384</v>
      </c>
      <c r="D73" s="1">
        <v>0.22</v>
      </c>
      <c r="E73">
        <v>0</v>
      </c>
      <c r="F73" t="s">
        <v>352</v>
      </c>
      <c r="G73">
        <f t="shared" si="9"/>
        <v>85</v>
      </c>
      <c r="H73" t="str">
        <f t="shared" si="10"/>
        <v>Not Rated</v>
      </c>
      <c r="I73" t="str">
        <f t="shared" si="11"/>
        <v>Medium</v>
      </c>
      <c r="J73" t="str">
        <f t="shared" si="12"/>
        <v>Low</v>
      </c>
      <c r="K73">
        <f t="shared" si="13"/>
        <v>72</v>
      </c>
    </row>
    <row r="74" spans="1:11" x14ac:dyDescent="0.25">
      <c r="A74" t="s">
        <v>165</v>
      </c>
      <c r="B74">
        <v>1459</v>
      </c>
      <c r="C74">
        <v>1499</v>
      </c>
      <c r="D74" s="1">
        <v>0.03</v>
      </c>
      <c r="E74">
        <v>0</v>
      </c>
      <c r="F74" t="s">
        <v>352</v>
      </c>
      <c r="G74">
        <f t="shared" si="9"/>
        <v>40</v>
      </c>
      <c r="H74" t="str">
        <f t="shared" si="10"/>
        <v>Not Rated</v>
      </c>
      <c r="I74" t="str">
        <f t="shared" si="11"/>
        <v>Low</v>
      </c>
      <c r="J74" t="str">
        <f t="shared" si="12"/>
        <v>Medium</v>
      </c>
      <c r="K74">
        <f t="shared" si="13"/>
        <v>73</v>
      </c>
    </row>
    <row r="75" spans="1:11" x14ac:dyDescent="0.25">
      <c r="A75" t="s">
        <v>168</v>
      </c>
      <c r="B75">
        <v>799</v>
      </c>
      <c r="C75">
        <v>1343</v>
      </c>
      <c r="D75" s="1">
        <v>0.41</v>
      </c>
      <c r="E75">
        <v>0</v>
      </c>
      <c r="F75" t="s">
        <v>352</v>
      </c>
      <c r="G75">
        <f t="shared" si="9"/>
        <v>544</v>
      </c>
      <c r="H75" t="str">
        <f t="shared" si="10"/>
        <v>Not Rated</v>
      </c>
      <c r="I75" t="str">
        <f t="shared" si="11"/>
        <v>High</v>
      </c>
      <c r="J75" t="str">
        <f t="shared" si="12"/>
        <v>Medium</v>
      </c>
      <c r="K75">
        <f t="shared" si="13"/>
        <v>74</v>
      </c>
    </row>
    <row r="76" spans="1:11" x14ac:dyDescent="0.25">
      <c r="A76" t="s">
        <v>170</v>
      </c>
      <c r="B76">
        <v>499</v>
      </c>
      <c r="C76">
        <v>900</v>
      </c>
      <c r="D76" s="1">
        <v>0.45</v>
      </c>
      <c r="E76">
        <v>0</v>
      </c>
      <c r="F76" t="s">
        <v>352</v>
      </c>
      <c r="G76">
        <f t="shared" si="9"/>
        <v>401</v>
      </c>
      <c r="H76" t="str">
        <f t="shared" si="10"/>
        <v>Not Rated</v>
      </c>
      <c r="I76" t="str">
        <f t="shared" si="11"/>
        <v>High</v>
      </c>
      <c r="J76" t="str">
        <f t="shared" si="12"/>
        <v>Medium</v>
      </c>
      <c r="K76">
        <f t="shared" si="13"/>
        <v>75</v>
      </c>
    </row>
    <row r="77" spans="1:11" x14ac:dyDescent="0.25">
      <c r="A77" t="s">
        <v>173</v>
      </c>
      <c r="B77">
        <v>699</v>
      </c>
      <c r="C77">
        <v>1343</v>
      </c>
      <c r="D77" s="1">
        <v>0.48</v>
      </c>
      <c r="E77">
        <v>0</v>
      </c>
      <c r="F77" t="s">
        <v>352</v>
      </c>
      <c r="G77">
        <f t="shared" si="9"/>
        <v>644</v>
      </c>
      <c r="H77" t="str">
        <f t="shared" si="10"/>
        <v>Not Rated</v>
      </c>
      <c r="I77" t="str">
        <f t="shared" si="11"/>
        <v>High</v>
      </c>
      <c r="J77" t="str">
        <f t="shared" si="12"/>
        <v>Medium</v>
      </c>
      <c r="K77">
        <f t="shared" si="13"/>
        <v>76</v>
      </c>
    </row>
    <row r="78" spans="1:11" x14ac:dyDescent="0.25">
      <c r="A78" t="s">
        <v>175</v>
      </c>
      <c r="B78">
        <v>799</v>
      </c>
      <c r="C78">
        <v>1567</v>
      </c>
      <c r="D78" s="1">
        <v>0.49</v>
      </c>
      <c r="E78">
        <v>0</v>
      </c>
      <c r="F78" t="s">
        <v>352</v>
      </c>
      <c r="G78">
        <f t="shared" si="9"/>
        <v>768</v>
      </c>
      <c r="H78" t="str">
        <f t="shared" si="10"/>
        <v>Not Rated</v>
      </c>
      <c r="I78" t="str">
        <f t="shared" si="11"/>
        <v>High</v>
      </c>
      <c r="J78" t="str">
        <f t="shared" si="12"/>
        <v>Medium</v>
      </c>
      <c r="K78">
        <f t="shared" si="13"/>
        <v>77</v>
      </c>
    </row>
    <row r="79" spans="1:11" x14ac:dyDescent="0.25">
      <c r="A79" t="s">
        <v>177</v>
      </c>
      <c r="B79">
        <v>2799</v>
      </c>
      <c r="C79">
        <v>3810</v>
      </c>
      <c r="D79" s="1">
        <v>0.27</v>
      </c>
      <c r="E79">
        <v>0</v>
      </c>
      <c r="F79" t="s">
        <v>352</v>
      </c>
      <c r="G79">
        <f t="shared" si="9"/>
        <v>1011</v>
      </c>
      <c r="H79" t="str">
        <f t="shared" si="10"/>
        <v>Not Rated</v>
      </c>
      <c r="I79" t="str">
        <f t="shared" si="11"/>
        <v>Medium</v>
      </c>
      <c r="J79" t="str">
        <f t="shared" si="12"/>
        <v>High</v>
      </c>
      <c r="K79">
        <f t="shared" si="13"/>
        <v>78</v>
      </c>
    </row>
    <row r="80" spans="1:11" x14ac:dyDescent="0.25">
      <c r="A80" t="s">
        <v>170</v>
      </c>
      <c r="B80">
        <v>399</v>
      </c>
      <c r="C80">
        <v>896</v>
      </c>
      <c r="D80" s="1">
        <v>0.55000000000000004</v>
      </c>
      <c r="E80">
        <v>0</v>
      </c>
      <c r="F80" t="s">
        <v>352</v>
      </c>
      <c r="G80">
        <f t="shared" si="9"/>
        <v>497</v>
      </c>
      <c r="H80" t="str">
        <f t="shared" si="10"/>
        <v>Not Rated</v>
      </c>
      <c r="I80" t="str">
        <f t="shared" si="11"/>
        <v>High</v>
      </c>
      <c r="J80" t="str">
        <f t="shared" si="12"/>
        <v>Low</v>
      </c>
      <c r="K80">
        <f t="shared" si="13"/>
        <v>79</v>
      </c>
    </row>
    <row r="81" spans="1:11" x14ac:dyDescent="0.25">
      <c r="A81" t="s">
        <v>232</v>
      </c>
      <c r="B81">
        <v>790</v>
      </c>
      <c r="C81">
        <v>1485</v>
      </c>
      <c r="D81" s="1">
        <v>0.47</v>
      </c>
      <c r="E81">
        <v>0</v>
      </c>
      <c r="F81" t="s">
        <v>352</v>
      </c>
      <c r="G81">
        <f t="shared" si="9"/>
        <v>695</v>
      </c>
      <c r="H81" t="str">
        <f t="shared" si="10"/>
        <v>Not Rated</v>
      </c>
      <c r="I81" t="str">
        <f t="shared" si="11"/>
        <v>High</v>
      </c>
      <c r="J81" t="str">
        <f t="shared" si="12"/>
        <v>Medium</v>
      </c>
      <c r="K81">
        <f t="shared" si="13"/>
        <v>80</v>
      </c>
    </row>
    <row r="82" spans="1:11" x14ac:dyDescent="0.25">
      <c r="A82" t="s">
        <v>235</v>
      </c>
      <c r="B82">
        <v>690</v>
      </c>
      <c r="C82">
        <v>1200</v>
      </c>
      <c r="D82" s="1">
        <v>0.43</v>
      </c>
      <c r="E82">
        <v>0</v>
      </c>
      <c r="F82" t="s">
        <v>352</v>
      </c>
      <c r="G82">
        <f t="shared" si="9"/>
        <v>510</v>
      </c>
      <c r="H82" t="str">
        <f t="shared" si="10"/>
        <v>Not Rated</v>
      </c>
      <c r="I82" t="str">
        <f t="shared" si="11"/>
        <v>High</v>
      </c>
      <c r="J82" t="str">
        <f t="shared" si="12"/>
        <v>Medium</v>
      </c>
      <c r="K82">
        <f t="shared" si="13"/>
        <v>81</v>
      </c>
    </row>
    <row r="83" spans="1:11" x14ac:dyDescent="0.25">
      <c r="A83" t="s">
        <v>237</v>
      </c>
      <c r="B83">
        <v>1732</v>
      </c>
      <c r="C83">
        <v>1799</v>
      </c>
      <c r="D83" s="1">
        <v>0.04</v>
      </c>
      <c r="E83">
        <v>0</v>
      </c>
      <c r="F83" t="s">
        <v>352</v>
      </c>
      <c r="G83">
        <f t="shared" si="9"/>
        <v>67</v>
      </c>
      <c r="H83" t="str">
        <f t="shared" si="10"/>
        <v>Not Rated</v>
      </c>
      <c r="I83" t="str">
        <f t="shared" si="11"/>
        <v>Low</v>
      </c>
      <c r="J83" t="str">
        <f t="shared" si="12"/>
        <v>High</v>
      </c>
      <c r="K83">
        <f t="shared" si="13"/>
        <v>82</v>
      </c>
    </row>
    <row r="84" spans="1:11" x14ac:dyDescent="0.25">
      <c r="A84" t="s">
        <v>240</v>
      </c>
      <c r="B84">
        <v>230</v>
      </c>
      <c r="C84">
        <v>450</v>
      </c>
      <c r="D84" s="1">
        <v>0.49</v>
      </c>
      <c r="E84">
        <v>0</v>
      </c>
      <c r="F84" t="s">
        <v>352</v>
      </c>
      <c r="G84">
        <f t="shared" si="9"/>
        <v>220</v>
      </c>
      <c r="H84" t="str">
        <f t="shared" si="10"/>
        <v>Not Rated</v>
      </c>
      <c r="I84" t="str">
        <f t="shared" si="11"/>
        <v>High</v>
      </c>
      <c r="J84" t="str">
        <f t="shared" si="12"/>
        <v>Low</v>
      </c>
      <c r="K84">
        <f t="shared" si="13"/>
        <v>83</v>
      </c>
    </row>
    <row r="85" spans="1:11" x14ac:dyDescent="0.25">
      <c r="A85" t="s">
        <v>248</v>
      </c>
      <c r="B85">
        <v>1460</v>
      </c>
      <c r="C85">
        <v>2290</v>
      </c>
      <c r="D85" s="1">
        <v>0.36</v>
      </c>
      <c r="E85">
        <v>0</v>
      </c>
      <c r="F85" t="s">
        <v>352</v>
      </c>
      <c r="G85">
        <f t="shared" si="9"/>
        <v>830</v>
      </c>
      <c r="H85" t="str">
        <f t="shared" si="10"/>
        <v>Not Rated</v>
      </c>
      <c r="I85" t="str">
        <f t="shared" si="11"/>
        <v>Medium</v>
      </c>
      <c r="J85" t="str">
        <f t="shared" si="12"/>
        <v>Medium</v>
      </c>
      <c r="K85">
        <f t="shared" si="13"/>
        <v>84</v>
      </c>
    </row>
    <row r="86" spans="1:11" x14ac:dyDescent="0.25">
      <c r="A86" t="s">
        <v>251</v>
      </c>
      <c r="B86">
        <v>1666</v>
      </c>
      <c r="C86">
        <v>1699</v>
      </c>
      <c r="D86" s="1">
        <v>0.02</v>
      </c>
      <c r="E86">
        <v>0</v>
      </c>
      <c r="F86" t="s">
        <v>352</v>
      </c>
      <c r="G86">
        <f t="shared" si="9"/>
        <v>33</v>
      </c>
      <c r="H86" t="str">
        <f t="shared" si="10"/>
        <v>Not Rated</v>
      </c>
      <c r="I86" t="str">
        <f t="shared" si="11"/>
        <v>Low</v>
      </c>
      <c r="J86" t="str">
        <f t="shared" si="12"/>
        <v>Medium</v>
      </c>
      <c r="K86">
        <f t="shared" si="13"/>
        <v>85</v>
      </c>
    </row>
    <row r="87" spans="1:11" x14ac:dyDescent="0.25">
      <c r="A87" t="s">
        <v>154</v>
      </c>
      <c r="B87">
        <v>176</v>
      </c>
      <c r="C87">
        <v>345</v>
      </c>
      <c r="D87" s="1">
        <v>0.49</v>
      </c>
      <c r="E87">
        <v>0</v>
      </c>
      <c r="F87" t="s">
        <v>352</v>
      </c>
      <c r="G87">
        <f t="shared" si="9"/>
        <v>169</v>
      </c>
      <c r="H87" t="str">
        <f t="shared" si="10"/>
        <v>Not Rated</v>
      </c>
      <c r="I87" t="str">
        <f t="shared" si="11"/>
        <v>High</v>
      </c>
      <c r="J87" t="str">
        <f t="shared" si="12"/>
        <v>Low</v>
      </c>
      <c r="K87">
        <f t="shared" si="13"/>
        <v>86</v>
      </c>
    </row>
    <row r="88" spans="1:11" x14ac:dyDescent="0.25">
      <c r="A88" t="s">
        <v>256</v>
      </c>
      <c r="B88">
        <v>1466</v>
      </c>
      <c r="C88">
        <v>1699</v>
      </c>
      <c r="D88" s="1">
        <v>0.14000000000000001</v>
      </c>
      <c r="E88">
        <v>0</v>
      </c>
      <c r="F88" t="s">
        <v>352</v>
      </c>
      <c r="G88">
        <f t="shared" si="9"/>
        <v>233</v>
      </c>
      <c r="H88" t="str">
        <f t="shared" si="10"/>
        <v>Not Rated</v>
      </c>
      <c r="I88" t="str">
        <f t="shared" si="11"/>
        <v>Low</v>
      </c>
      <c r="J88" t="str">
        <f t="shared" si="12"/>
        <v>Medium</v>
      </c>
      <c r="K88">
        <f t="shared" si="13"/>
        <v>87</v>
      </c>
    </row>
    <row r="89" spans="1:11" x14ac:dyDescent="0.25">
      <c r="A89" t="s">
        <v>258</v>
      </c>
      <c r="B89">
        <v>274</v>
      </c>
      <c r="C89">
        <v>537</v>
      </c>
      <c r="D89" s="1">
        <v>0.49</v>
      </c>
      <c r="E89">
        <v>0</v>
      </c>
      <c r="F89" t="s">
        <v>352</v>
      </c>
      <c r="G89">
        <f t="shared" si="9"/>
        <v>263</v>
      </c>
      <c r="H89" t="str">
        <f t="shared" si="10"/>
        <v>Not Rated</v>
      </c>
      <c r="I89" t="str">
        <f t="shared" si="11"/>
        <v>High</v>
      </c>
      <c r="J89" t="str">
        <f t="shared" si="12"/>
        <v>Low</v>
      </c>
      <c r="K89">
        <f t="shared" si="13"/>
        <v>88</v>
      </c>
    </row>
    <row r="90" spans="1:11" x14ac:dyDescent="0.25">
      <c r="A90" t="s">
        <v>261</v>
      </c>
      <c r="B90">
        <v>799</v>
      </c>
      <c r="C90">
        <v>900</v>
      </c>
      <c r="D90" s="1">
        <v>0.11</v>
      </c>
      <c r="E90">
        <v>0</v>
      </c>
      <c r="F90" t="s">
        <v>352</v>
      </c>
      <c r="G90">
        <f t="shared" si="9"/>
        <v>101</v>
      </c>
      <c r="H90" t="str">
        <f t="shared" si="10"/>
        <v>Not Rated</v>
      </c>
      <c r="I90" t="str">
        <f t="shared" si="11"/>
        <v>Low</v>
      </c>
      <c r="J90" t="str">
        <f t="shared" si="12"/>
        <v>Medium</v>
      </c>
      <c r="K90">
        <f t="shared" si="13"/>
        <v>89</v>
      </c>
    </row>
    <row r="91" spans="1:11" x14ac:dyDescent="0.25">
      <c r="A91" t="s">
        <v>175</v>
      </c>
      <c r="B91">
        <v>657</v>
      </c>
      <c r="C91">
        <v>1288</v>
      </c>
      <c r="D91" s="1">
        <v>0.49</v>
      </c>
      <c r="E91">
        <v>0</v>
      </c>
      <c r="F91" t="s">
        <v>352</v>
      </c>
      <c r="G91">
        <f t="shared" si="9"/>
        <v>631</v>
      </c>
      <c r="H91" t="str">
        <f t="shared" si="10"/>
        <v>Not Rated</v>
      </c>
      <c r="I91" t="str">
        <f t="shared" si="11"/>
        <v>High</v>
      </c>
      <c r="J91" t="str">
        <f t="shared" si="12"/>
        <v>Medium</v>
      </c>
      <c r="K91">
        <f t="shared" si="13"/>
        <v>90</v>
      </c>
    </row>
    <row r="92" spans="1:11" x14ac:dyDescent="0.25">
      <c r="A92" t="s">
        <v>264</v>
      </c>
      <c r="B92">
        <v>1468</v>
      </c>
      <c r="C92">
        <v>1699</v>
      </c>
      <c r="D92" s="1">
        <v>0.14000000000000001</v>
      </c>
      <c r="E92">
        <v>0</v>
      </c>
      <c r="F92" t="s">
        <v>352</v>
      </c>
      <c r="G92">
        <f t="shared" si="9"/>
        <v>231</v>
      </c>
      <c r="H92" t="str">
        <f t="shared" si="10"/>
        <v>Not Rated</v>
      </c>
      <c r="I92" t="str">
        <f t="shared" si="11"/>
        <v>Low</v>
      </c>
      <c r="J92" t="str">
        <f t="shared" si="12"/>
        <v>Medium</v>
      </c>
      <c r="K92">
        <f t="shared" si="13"/>
        <v>91</v>
      </c>
    </row>
    <row r="93" spans="1:11" x14ac:dyDescent="0.25">
      <c r="A93" t="s">
        <v>266</v>
      </c>
      <c r="B93">
        <v>630</v>
      </c>
      <c r="C93">
        <v>1100</v>
      </c>
      <c r="D93" s="1">
        <v>0.43</v>
      </c>
      <c r="E93">
        <v>0</v>
      </c>
      <c r="F93" t="s">
        <v>352</v>
      </c>
      <c r="G93">
        <f t="shared" si="9"/>
        <v>470</v>
      </c>
      <c r="H93" t="str">
        <f t="shared" si="10"/>
        <v>Not Rated</v>
      </c>
      <c r="I93" t="str">
        <f t="shared" si="11"/>
        <v>High</v>
      </c>
      <c r="J93" t="str">
        <f t="shared" si="12"/>
        <v>Medium</v>
      </c>
      <c r="K93">
        <f t="shared" si="13"/>
        <v>92</v>
      </c>
    </row>
    <row r="94" spans="1:11" x14ac:dyDescent="0.25">
      <c r="A94" t="s">
        <v>269</v>
      </c>
      <c r="B94">
        <v>850</v>
      </c>
      <c r="C94">
        <v>1700</v>
      </c>
      <c r="D94" s="1">
        <v>0.5</v>
      </c>
      <c r="E94">
        <v>0</v>
      </c>
      <c r="F94" t="s">
        <v>352</v>
      </c>
      <c r="G94">
        <f t="shared" si="9"/>
        <v>850</v>
      </c>
      <c r="H94" t="str">
        <f t="shared" si="10"/>
        <v>Not Rated</v>
      </c>
      <c r="I94" t="str">
        <f t="shared" si="11"/>
        <v>High</v>
      </c>
      <c r="J94" t="str">
        <f t="shared" si="12"/>
        <v>Medium</v>
      </c>
      <c r="K94">
        <f t="shared" si="13"/>
        <v>93</v>
      </c>
    </row>
    <row r="95" spans="1:11" x14ac:dyDescent="0.25">
      <c r="A95" t="s">
        <v>272</v>
      </c>
      <c r="B95">
        <v>1300</v>
      </c>
      <c r="C95">
        <v>2500</v>
      </c>
      <c r="D95" s="1">
        <v>0.48</v>
      </c>
      <c r="E95">
        <v>0</v>
      </c>
      <c r="F95" t="s">
        <v>352</v>
      </c>
      <c r="G95">
        <f t="shared" si="9"/>
        <v>1200</v>
      </c>
      <c r="H95" t="str">
        <f t="shared" si="10"/>
        <v>Not Rated</v>
      </c>
      <c r="I95" t="str">
        <f t="shared" si="11"/>
        <v>High</v>
      </c>
      <c r="J95" t="str">
        <f t="shared" si="12"/>
        <v>Medium</v>
      </c>
      <c r="K95">
        <f t="shared" si="13"/>
        <v>94</v>
      </c>
    </row>
    <row r="96" spans="1:11" x14ac:dyDescent="0.25">
      <c r="A96" t="s">
        <v>274</v>
      </c>
      <c r="B96">
        <v>105</v>
      </c>
      <c r="C96">
        <v>200</v>
      </c>
      <c r="D96" s="1">
        <v>0.48</v>
      </c>
      <c r="E96">
        <v>0</v>
      </c>
      <c r="F96" t="s">
        <v>352</v>
      </c>
      <c r="G96">
        <f t="shared" si="9"/>
        <v>95</v>
      </c>
      <c r="H96" t="str">
        <f t="shared" si="10"/>
        <v>Not Rated</v>
      </c>
      <c r="I96" t="str">
        <f t="shared" si="11"/>
        <v>High</v>
      </c>
      <c r="J96" t="str">
        <f t="shared" si="12"/>
        <v>Low</v>
      </c>
      <c r="K96">
        <f t="shared" si="13"/>
        <v>95</v>
      </c>
    </row>
    <row r="97" spans="1:11" x14ac:dyDescent="0.25">
      <c r="A97" t="s">
        <v>277</v>
      </c>
      <c r="B97">
        <v>899</v>
      </c>
      <c r="C97">
        <v>1699</v>
      </c>
      <c r="D97" s="1">
        <v>0.47</v>
      </c>
      <c r="E97">
        <v>0</v>
      </c>
      <c r="F97" t="s">
        <v>352</v>
      </c>
      <c r="G97">
        <f t="shared" si="9"/>
        <v>800</v>
      </c>
      <c r="H97" t="str">
        <f t="shared" si="10"/>
        <v>Not Rated</v>
      </c>
      <c r="I97" t="str">
        <f t="shared" si="11"/>
        <v>High</v>
      </c>
      <c r="J97" t="str">
        <f t="shared" si="12"/>
        <v>Medium</v>
      </c>
      <c r="K97">
        <f t="shared" si="13"/>
        <v>96</v>
      </c>
    </row>
    <row r="98" spans="1:11" x14ac:dyDescent="0.25">
      <c r="A98" t="s">
        <v>278</v>
      </c>
      <c r="B98">
        <v>1200</v>
      </c>
      <c r="C98">
        <v>2400</v>
      </c>
      <c r="D98" s="1">
        <v>0.5</v>
      </c>
      <c r="E98">
        <v>0</v>
      </c>
      <c r="F98" t="s">
        <v>352</v>
      </c>
      <c r="G98">
        <f t="shared" ref="G98:G113" si="14">C98-B98</f>
        <v>1200</v>
      </c>
      <c r="H98" t="str">
        <f t="shared" ref="H98:H113" si="15">IF(F98="","Not Rated",IF(F98&lt;3,"Poor",IF(F98&lt;=4,"Average",IF(F98&lt;=4.5,"Good","Excellent"))))</f>
        <v>Not Rated</v>
      </c>
      <c r="I98" t="str">
        <f t="shared" ref="I98:I113" si="16">IF(D98&lt;20%,"Low",IF(D98&lt;=40%,"Medium","High"))</f>
        <v>High</v>
      </c>
      <c r="J98" t="str">
        <f t="shared" ref="J98:J113" si="17">IF(B98&lt;=493,"Low",IF(B98&lt;=1669.5,"Medium","High"))</f>
        <v>Medium</v>
      </c>
      <c r="K98">
        <f t="shared" si="13"/>
        <v>97</v>
      </c>
    </row>
    <row r="99" spans="1:11" x14ac:dyDescent="0.25">
      <c r="A99" t="s">
        <v>280</v>
      </c>
      <c r="B99">
        <v>1526</v>
      </c>
      <c r="C99">
        <v>1660</v>
      </c>
      <c r="D99" s="1">
        <v>0.08</v>
      </c>
      <c r="E99">
        <v>0</v>
      </c>
      <c r="F99" t="s">
        <v>352</v>
      </c>
      <c r="G99">
        <f t="shared" si="14"/>
        <v>134</v>
      </c>
      <c r="H99" t="str">
        <f t="shared" si="15"/>
        <v>Not Rated</v>
      </c>
      <c r="I99" t="str">
        <f t="shared" si="16"/>
        <v>Low</v>
      </c>
      <c r="J99" t="str">
        <f t="shared" si="17"/>
        <v>Medium</v>
      </c>
      <c r="K99">
        <f t="shared" si="13"/>
        <v>98</v>
      </c>
    </row>
    <row r="100" spans="1:11" x14ac:dyDescent="0.25">
      <c r="A100" t="s">
        <v>282</v>
      </c>
      <c r="B100">
        <v>1462</v>
      </c>
      <c r="C100">
        <v>1499</v>
      </c>
      <c r="D100" s="1">
        <v>0.02</v>
      </c>
      <c r="E100">
        <v>0</v>
      </c>
      <c r="F100" t="s">
        <v>352</v>
      </c>
      <c r="G100">
        <f t="shared" si="14"/>
        <v>37</v>
      </c>
      <c r="H100" t="str">
        <f t="shared" si="15"/>
        <v>Not Rated</v>
      </c>
      <c r="I100" t="str">
        <f t="shared" si="16"/>
        <v>Low</v>
      </c>
      <c r="J100" t="str">
        <f t="shared" si="17"/>
        <v>Medium</v>
      </c>
      <c r="K100">
        <f t="shared" si="13"/>
        <v>99</v>
      </c>
    </row>
    <row r="101" spans="1:11" x14ac:dyDescent="0.25">
      <c r="A101" t="s">
        <v>284</v>
      </c>
      <c r="B101">
        <v>248</v>
      </c>
      <c r="C101">
        <v>486</v>
      </c>
      <c r="D101" s="1">
        <v>0.49</v>
      </c>
      <c r="E101">
        <v>0</v>
      </c>
      <c r="F101" t="s">
        <v>352</v>
      </c>
      <c r="G101">
        <f t="shared" si="14"/>
        <v>238</v>
      </c>
      <c r="H101" t="str">
        <f t="shared" si="15"/>
        <v>Not Rated</v>
      </c>
      <c r="I101" t="str">
        <f t="shared" si="16"/>
        <v>High</v>
      </c>
      <c r="J101" t="str">
        <f t="shared" si="17"/>
        <v>Low</v>
      </c>
      <c r="K101">
        <f t="shared" si="13"/>
        <v>100</v>
      </c>
    </row>
    <row r="102" spans="1:11" x14ac:dyDescent="0.25">
      <c r="A102" t="s">
        <v>287</v>
      </c>
      <c r="B102">
        <v>3546</v>
      </c>
      <c r="C102">
        <v>3699</v>
      </c>
      <c r="D102" s="1">
        <v>0.04</v>
      </c>
      <c r="E102">
        <v>0</v>
      </c>
      <c r="F102" t="s">
        <v>352</v>
      </c>
      <c r="G102">
        <f t="shared" si="14"/>
        <v>153</v>
      </c>
      <c r="H102" t="str">
        <f t="shared" si="15"/>
        <v>Not Rated</v>
      </c>
      <c r="I102" t="str">
        <f t="shared" si="16"/>
        <v>Low</v>
      </c>
      <c r="J102" t="str">
        <f t="shared" si="17"/>
        <v>High</v>
      </c>
      <c r="K102">
        <f t="shared" si="13"/>
        <v>101</v>
      </c>
    </row>
    <row r="103" spans="1:11" x14ac:dyDescent="0.25">
      <c r="A103" t="s">
        <v>289</v>
      </c>
      <c r="B103">
        <v>525</v>
      </c>
      <c r="C103">
        <v>1029</v>
      </c>
      <c r="D103" s="1">
        <v>0.49</v>
      </c>
      <c r="E103">
        <v>0</v>
      </c>
      <c r="F103" t="s">
        <v>352</v>
      </c>
      <c r="G103">
        <f t="shared" si="14"/>
        <v>504</v>
      </c>
      <c r="H103" t="str">
        <f t="shared" si="15"/>
        <v>Not Rated</v>
      </c>
      <c r="I103" t="str">
        <f t="shared" si="16"/>
        <v>High</v>
      </c>
      <c r="J103" t="str">
        <f t="shared" si="17"/>
        <v>Medium</v>
      </c>
      <c r="K103">
        <f t="shared" si="13"/>
        <v>102</v>
      </c>
    </row>
    <row r="104" spans="1:11" x14ac:dyDescent="0.25">
      <c r="A104" t="s">
        <v>292</v>
      </c>
      <c r="B104">
        <v>1080</v>
      </c>
      <c r="C104">
        <v>1874</v>
      </c>
      <c r="D104" s="1">
        <v>0.42</v>
      </c>
      <c r="E104">
        <v>0</v>
      </c>
      <c r="F104" t="s">
        <v>352</v>
      </c>
      <c r="G104">
        <f t="shared" si="14"/>
        <v>794</v>
      </c>
      <c r="H104" t="str">
        <f t="shared" si="15"/>
        <v>Not Rated</v>
      </c>
      <c r="I104" t="str">
        <f t="shared" si="16"/>
        <v>High</v>
      </c>
      <c r="J104" t="str">
        <f t="shared" si="17"/>
        <v>Medium</v>
      </c>
      <c r="K104">
        <f t="shared" si="13"/>
        <v>103</v>
      </c>
    </row>
    <row r="105" spans="1:11" x14ac:dyDescent="0.25">
      <c r="A105" t="s">
        <v>298</v>
      </c>
      <c r="B105">
        <v>1420</v>
      </c>
      <c r="C105">
        <v>2420</v>
      </c>
      <c r="D105" s="1">
        <v>0.41</v>
      </c>
      <c r="E105">
        <v>0</v>
      </c>
      <c r="F105" t="s">
        <v>352</v>
      </c>
      <c r="G105">
        <f t="shared" si="14"/>
        <v>1000</v>
      </c>
      <c r="H105" t="str">
        <f t="shared" si="15"/>
        <v>Not Rated</v>
      </c>
      <c r="I105" t="str">
        <f t="shared" si="16"/>
        <v>High</v>
      </c>
      <c r="J105" t="str">
        <f t="shared" si="17"/>
        <v>Medium</v>
      </c>
      <c r="K105">
        <f t="shared" si="13"/>
        <v>104</v>
      </c>
    </row>
    <row r="106" spans="1:11" x14ac:dyDescent="0.25">
      <c r="A106" t="s">
        <v>301</v>
      </c>
      <c r="B106">
        <v>1875</v>
      </c>
      <c r="C106">
        <v>1899</v>
      </c>
      <c r="D106" s="1">
        <v>0.01</v>
      </c>
      <c r="E106">
        <v>0</v>
      </c>
      <c r="F106" t="s">
        <v>352</v>
      </c>
      <c r="G106">
        <f t="shared" si="14"/>
        <v>24</v>
      </c>
      <c r="H106" t="str">
        <f t="shared" si="15"/>
        <v>Not Rated</v>
      </c>
      <c r="I106" t="str">
        <f t="shared" si="16"/>
        <v>Low</v>
      </c>
      <c r="J106" t="str">
        <f t="shared" si="17"/>
        <v>High</v>
      </c>
      <c r="K106">
        <f t="shared" si="13"/>
        <v>105</v>
      </c>
    </row>
    <row r="107" spans="1:11" x14ac:dyDescent="0.25">
      <c r="A107" t="s">
        <v>304</v>
      </c>
      <c r="B107">
        <v>198</v>
      </c>
      <c r="C107">
        <v>260</v>
      </c>
      <c r="D107" s="1">
        <v>0.24</v>
      </c>
      <c r="E107">
        <v>0</v>
      </c>
      <c r="F107" t="s">
        <v>352</v>
      </c>
      <c r="G107">
        <f t="shared" si="14"/>
        <v>62</v>
      </c>
      <c r="H107" t="str">
        <f t="shared" si="15"/>
        <v>Not Rated</v>
      </c>
      <c r="I107" t="str">
        <f t="shared" si="16"/>
        <v>Medium</v>
      </c>
      <c r="J107" t="str">
        <f t="shared" si="17"/>
        <v>Low</v>
      </c>
      <c r="K107">
        <f t="shared" si="13"/>
        <v>106</v>
      </c>
    </row>
    <row r="108" spans="1:11" x14ac:dyDescent="0.25">
      <c r="A108" t="s">
        <v>307</v>
      </c>
      <c r="B108">
        <v>1150</v>
      </c>
      <c r="C108">
        <v>1737</v>
      </c>
      <c r="D108" s="1">
        <v>0.34</v>
      </c>
      <c r="E108">
        <v>0</v>
      </c>
      <c r="F108" t="s">
        <v>352</v>
      </c>
      <c r="G108">
        <f t="shared" si="14"/>
        <v>587</v>
      </c>
      <c r="H108" t="str">
        <f t="shared" si="15"/>
        <v>Not Rated</v>
      </c>
      <c r="I108" t="str">
        <f t="shared" si="16"/>
        <v>Medium</v>
      </c>
      <c r="J108" t="str">
        <f t="shared" si="17"/>
        <v>Medium</v>
      </c>
      <c r="K108">
        <f t="shared" si="13"/>
        <v>107</v>
      </c>
    </row>
    <row r="109" spans="1:11" x14ac:dyDescent="0.25">
      <c r="A109" t="s">
        <v>310</v>
      </c>
      <c r="B109">
        <v>1190</v>
      </c>
      <c r="C109">
        <v>1810</v>
      </c>
      <c r="D109" s="1">
        <v>0.34</v>
      </c>
      <c r="E109">
        <v>0</v>
      </c>
      <c r="F109" t="s">
        <v>352</v>
      </c>
      <c r="G109">
        <f t="shared" si="14"/>
        <v>620</v>
      </c>
      <c r="H109" t="str">
        <f t="shared" si="15"/>
        <v>Not Rated</v>
      </c>
      <c r="I109" t="str">
        <f t="shared" si="16"/>
        <v>Medium</v>
      </c>
      <c r="J109" t="str">
        <f t="shared" si="17"/>
        <v>Medium</v>
      </c>
      <c r="K109">
        <f t="shared" si="13"/>
        <v>108</v>
      </c>
    </row>
    <row r="110" spans="1:11" x14ac:dyDescent="0.25">
      <c r="A110" t="s">
        <v>312</v>
      </c>
      <c r="B110">
        <v>1658</v>
      </c>
      <c r="C110">
        <v>1699</v>
      </c>
      <c r="D110" s="1">
        <v>0.02</v>
      </c>
      <c r="E110">
        <v>0</v>
      </c>
      <c r="F110" t="s">
        <v>352</v>
      </c>
      <c r="G110">
        <f t="shared" si="14"/>
        <v>41</v>
      </c>
      <c r="H110" t="str">
        <f t="shared" si="15"/>
        <v>Not Rated</v>
      </c>
      <c r="I110" t="str">
        <f t="shared" si="16"/>
        <v>Low</v>
      </c>
      <c r="J110" t="str">
        <f t="shared" si="17"/>
        <v>Medium</v>
      </c>
      <c r="K110">
        <f t="shared" si="13"/>
        <v>109</v>
      </c>
    </row>
    <row r="111" spans="1:11" x14ac:dyDescent="0.25">
      <c r="A111" t="s">
        <v>314</v>
      </c>
      <c r="B111">
        <v>1768</v>
      </c>
      <c r="C111">
        <v>1799</v>
      </c>
      <c r="D111" s="1">
        <v>0.02</v>
      </c>
      <c r="E111">
        <v>0</v>
      </c>
      <c r="F111" t="s">
        <v>352</v>
      </c>
      <c r="G111">
        <f t="shared" si="14"/>
        <v>31</v>
      </c>
      <c r="H111" t="str">
        <f t="shared" si="15"/>
        <v>Not Rated</v>
      </c>
      <c r="I111" t="str">
        <f t="shared" si="16"/>
        <v>Low</v>
      </c>
      <c r="J111" t="str">
        <f t="shared" si="17"/>
        <v>High</v>
      </c>
      <c r="K111">
        <f t="shared" si="13"/>
        <v>110</v>
      </c>
    </row>
    <row r="112" spans="1:11" x14ac:dyDescent="0.25">
      <c r="A112" t="s">
        <v>316</v>
      </c>
      <c r="B112">
        <v>199</v>
      </c>
      <c r="C112">
        <v>553</v>
      </c>
      <c r="D112" s="1">
        <v>0.64</v>
      </c>
      <c r="E112">
        <v>0</v>
      </c>
      <c r="F112" t="s">
        <v>352</v>
      </c>
      <c r="G112">
        <f t="shared" si="14"/>
        <v>354</v>
      </c>
      <c r="H112" t="str">
        <f t="shared" si="15"/>
        <v>Not Rated</v>
      </c>
      <c r="I112" t="str">
        <f t="shared" si="16"/>
        <v>High</v>
      </c>
      <c r="J112" t="str">
        <f t="shared" si="17"/>
        <v>Low</v>
      </c>
      <c r="K112">
        <f t="shared" si="13"/>
        <v>111</v>
      </c>
    </row>
    <row r="113" spans="1:11" x14ac:dyDescent="0.25">
      <c r="A113" t="s">
        <v>320</v>
      </c>
      <c r="B113">
        <v>169</v>
      </c>
      <c r="C113">
        <v>320</v>
      </c>
      <c r="D113" s="1">
        <v>0.47</v>
      </c>
      <c r="E113">
        <v>0</v>
      </c>
      <c r="F113" t="s">
        <v>352</v>
      </c>
      <c r="G113">
        <f t="shared" si="14"/>
        <v>151</v>
      </c>
      <c r="H113" t="str">
        <f t="shared" si="15"/>
        <v>Not Rated</v>
      </c>
      <c r="I113" t="str">
        <f t="shared" si="16"/>
        <v>High</v>
      </c>
      <c r="J113" t="str">
        <f t="shared" si="17"/>
        <v>Low</v>
      </c>
      <c r="K113">
        <f t="shared" si="13"/>
        <v>112</v>
      </c>
    </row>
  </sheetData>
  <sortState xmlns:xlrd2="http://schemas.microsoft.com/office/spreadsheetml/2017/richdata2" ref="A2:J113">
    <sortCondition descending="1" ref="E2:E113"/>
  </sortState>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9389629810485"/>
  </sheetPr>
  <dimension ref="A1:R128"/>
  <sheetViews>
    <sheetView topLeftCell="B1" workbookViewId="0">
      <selection activeCell="Q30" sqref="Q30"/>
    </sheetView>
  </sheetViews>
  <sheetFormatPr defaultRowHeight="15" x14ac:dyDescent="0.25"/>
  <cols>
    <col min="1" max="1" width="87.85546875" customWidth="1"/>
    <col min="2" max="3" width="18.28515625" customWidth="1"/>
    <col min="4" max="4" width="8.140625" customWidth="1"/>
    <col min="5" max="5" width="6.85546875" customWidth="1"/>
    <col min="6" max="6" width="10.42578125" customWidth="1"/>
    <col min="7" max="7" width="11.85546875" customWidth="1"/>
    <col min="8" max="11" width="12.5703125" customWidth="1"/>
    <col min="12" max="12" width="19.42578125" customWidth="1"/>
    <col min="13" max="13" width="12" customWidth="1"/>
  </cols>
  <sheetData>
    <row r="1" spans="1:18" x14ac:dyDescent="0.25">
      <c r="A1" s="10" t="s">
        <v>0</v>
      </c>
      <c r="B1" s="10" t="s">
        <v>1</v>
      </c>
      <c r="C1" s="10" t="s">
        <v>346</v>
      </c>
      <c r="D1" s="10" t="s">
        <v>3</v>
      </c>
      <c r="E1" s="10" t="s">
        <v>4</v>
      </c>
      <c r="F1" s="10" t="s">
        <v>351</v>
      </c>
      <c r="G1" s="10" t="s">
        <v>462</v>
      </c>
      <c r="H1" s="10" t="s">
        <v>463</v>
      </c>
      <c r="I1" s="10" t="s">
        <v>466</v>
      </c>
      <c r="J1" s="10" t="s">
        <v>467</v>
      </c>
      <c r="K1" s="10"/>
      <c r="M1" s="10" t="s">
        <v>460</v>
      </c>
      <c r="N1" s="10" t="s">
        <v>464</v>
      </c>
    </row>
    <row r="2" spans="1:18" x14ac:dyDescent="0.25">
      <c r="A2" t="s">
        <v>194</v>
      </c>
      <c r="B2">
        <v>445</v>
      </c>
      <c r="C2">
        <v>873</v>
      </c>
      <c r="D2" s="1">
        <v>0.49</v>
      </c>
      <c r="E2">
        <v>69</v>
      </c>
      <c r="F2">
        <v>2.8</v>
      </c>
      <c r="G2">
        <f t="shared" ref="G2:G33" si="0">IF(F2="",NA(),F2)</f>
        <v>2.8</v>
      </c>
      <c r="H2">
        <f t="shared" ref="H2:H33" si="1">IF(F2="",NA(),E2)</f>
        <v>69</v>
      </c>
      <c r="I2">
        <f t="shared" ref="I2:I33" si="2">IF(F2="",NA(),B2)</f>
        <v>445</v>
      </c>
      <c r="J2">
        <f t="shared" ref="J2:J33" si="3">IF(F2="",NA(),F2)</f>
        <v>2.8</v>
      </c>
      <c r="L2" t="s">
        <v>331</v>
      </c>
      <c r="M2">
        <f>CORREL(D2:D113,E2:E113)</f>
        <v>1.2188797350860835E-2</v>
      </c>
      <c r="N2">
        <v>1E-4</v>
      </c>
      <c r="P2">
        <f>_xlfn.QUARTILE.INC(E2:E113,1)</f>
        <v>0</v>
      </c>
      <c r="Q2">
        <f>_xlfn.QUARTILE.INC(E2:E113,3)</f>
        <v>7</v>
      </c>
      <c r="R2">
        <f>MEDIAN(E2:E113)</f>
        <v>1</v>
      </c>
    </row>
    <row r="3" spans="1:18" x14ac:dyDescent="0.25">
      <c r="A3" t="s">
        <v>30</v>
      </c>
      <c r="B3">
        <v>2319</v>
      </c>
      <c r="C3">
        <v>3032</v>
      </c>
      <c r="D3" s="1">
        <v>0.24</v>
      </c>
      <c r="E3">
        <v>55</v>
      </c>
      <c r="F3">
        <v>4.5999999999999996</v>
      </c>
      <c r="G3">
        <f t="shared" si="0"/>
        <v>4.5999999999999996</v>
      </c>
      <c r="H3">
        <f t="shared" si="1"/>
        <v>55</v>
      </c>
      <c r="I3">
        <f t="shared" si="2"/>
        <v>2319</v>
      </c>
      <c r="J3">
        <f t="shared" si="3"/>
        <v>4.5999999999999996</v>
      </c>
      <c r="L3" t="s">
        <v>461</v>
      </c>
      <c r="M3">
        <f>CORREL(F2:F113,E2:E113)</f>
        <v>5.7209035119876454E-2</v>
      </c>
      <c r="N3">
        <v>3.3E-3</v>
      </c>
    </row>
    <row r="4" spans="1:18" x14ac:dyDescent="0.25">
      <c r="A4" t="s">
        <v>89</v>
      </c>
      <c r="B4">
        <v>420</v>
      </c>
      <c r="C4">
        <v>647</v>
      </c>
      <c r="D4" s="1">
        <v>0.35</v>
      </c>
      <c r="E4">
        <v>49</v>
      </c>
      <c r="F4">
        <v>4.5999999999999996</v>
      </c>
      <c r="G4">
        <f t="shared" si="0"/>
        <v>4.5999999999999996</v>
      </c>
      <c r="H4">
        <f t="shared" si="1"/>
        <v>49</v>
      </c>
      <c r="I4">
        <f t="shared" si="2"/>
        <v>420</v>
      </c>
      <c r="J4">
        <f t="shared" si="3"/>
        <v>4.5999999999999996</v>
      </c>
      <c r="L4" t="s">
        <v>465</v>
      </c>
      <c r="M4" s="1">
        <f>CORREL(B2:B113,F2:F113)</f>
        <v>0.11009021272510709</v>
      </c>
      <c r="N4">
        <v>1.21E-2</v>
      </c>
    </row>
    <row r="5" spans="1:18" x14ac:dyDescent="0.25">
      <c r="A5" t="s">
        <v>68</v>
      </c>
      <c r="B5">
        <v>998</v>
      </c>
      <c r="C5">
        <v>1966</v>
      </c>
      <c r="D5" s="1">
        <v>0.49</v>
      </c>
      <c r="E5">
        <v>44</v>
      </c>
      <c r="F5">
        <v>4.5999999999999996</v>
      </c>
      <c r="G5">
        <f t="shared" si="0"/>
        <v>4.5999999999999996</v>
      </c>
      <c r="H5">
        <f t="shared" si="1"/>
        <v>44</v>
      </c>
      <c r="I5">
        <f t="shared" si="2"/>
        <v>998</v>
      </c>
      <c r="J5">
        <f t="shared" si="3"/>
        <v>4.5999999999999996</v>
      </c>
      <c r="L5" s="1"/>
    </row>
    <row r="6" spans="1:18" x14ac:dyDescent="0.25">
      <c r="A6" t="s">
        <v>44</v>
      </c>
      <c r="B6">
        <v>990</v>
      </c>
      <c r="C6">
        <v>1500</v>
      </c>
      <c r="D6" s="1">
        <v>0.34</v>
      </c>
      <c r="E6">
        <v>39</v>
      </c>
      <c r="F6">
        <v>4.7</v>
      </c>
      <c r="G6">
        <f t="shared" si="0"/>
        <v>4.7</v>
      </c>
      <c r="H6">
        <f t="shared" si="1"/>
        <v>39</v>
      </c>
      <c r="I6">
        <f t="shared" si="2"/>
        <v>990</v>
      </c>
      <c r="J6">
        <f t="shared" si="3"/>
        <v>4.7</v>
      </c>
    </row>
    <row r="7" spans="1:18" x14ac:dyDescent="0.25">
      <c r="A7" t="s">
        <v>122</v>
      </c>
      <c r="B7">
        <v>389</v>
      </c>
      <c r="C7">
        <v>656</v>
      </c>
      <c r="D7" s="1">
        <v>0.41</v>
      </c>
      <c r="E7">
        <v>36</v>
      </c>
      <c r="F7">
        <v>4.3</v>
      </c>
      <c r="G7">
        <f t="shared" si="0"/>
        <v>4.3</v>
      </c>
      <c r="H7">
        <f t="shared" si="1"/>
        <v>36</v>
      </c>
      <c r="I7">
        <f t="shared" si="2"/>
        <v>389</v>
      </c>
      <c r="J7">
        <f t="shared" si="3"/>
        <v>4.3</v>
      </c>
      <c r="L7" s="10" t="s">
        <v>468</v>
      </c>
    </row>
    <row r="8" spans="1:18" x14ac:dyDescent="0.25">
      <c r="A8" t="s">
        <v>114</v>
      </c>
      <c r="B8">
        <v>1980</v>
      </c>
      <c r="C8">
        <v>2699</v>
      </c>
      <c r="D8" s="1">
        <v>0.27</v>
      </c>
      <c r="E8">
        <v>32</v>
      </c>
      <c r="F8">
        <v>4.5</v>
      </c>
      <c r="G8">
        <f t="shared" si="0"/>
        <v>4.5</v>
      </c>
      <c r="H8">
        <f t="shared" si="1"/>
        <v>32</v>
      </c>
      <c r="I8">
        <f t="shared" si="2"/>
        <v>1980</v>
      </c>
      <c r="J8">
        <f t="shared" si="3"/>
        <v>4.5</v>
      </c>
      <c r="L8" s="10" t="s">
        <v>0</v>
      </c>
      <c r="M8" s="10" t="s">
        <v>3</v>
      </c>
    </row>
    <row r="9" spans="1:18" x14ac:dyDescent="0.25">
      <c r="A9" t="s">
        <v>14</v>
      </c>
      <c r="B9">
        <v>2199</v>
      </c>
      <c r="C9">
        <v>2923</v>
      </c>
      <c r="D9" s="1">
        <v>0.25</v>
      </c>
      <c r="E9">
        <v>24</v>
      </c>
      <c r="F9">
        <v>4.5999999999999996</v>
      </c>
      <c r="G9">
        <f t="shared" si="0"/>
        <v>4.5999999999999996</v>
      </c>
      <c r="H9">
        <f t="shared" si="1"/>
        <v>24</v>
      </c>
      <c r="I9">
        <f t="shared" si="2"/>
        <v>2199</v>
      </c>
      <c r="J9">
        <f t="shared" si="3"/>
        <v>4.5999999999999996</v>
      </c>
      <c r="L9" t="s">
        <v>316</v>
      </c>
      <c r="M9" s="1">
        <v>0.64</v>
      </c>
    </row>
    <row r="10" spans="1:18" x14ac:dyDescent="0.25">
      <c r="A10" t="s">
        <v>97</v>
      </c>
      <c r="B10">
        <v>1758</v>
      </c>
      <c r="C10">
        <v>2499</v>
      </c>
      <c r="D10" s="1">
        <v>0.3</v>
      </c>
      <c r="E10">
        <v>20</v>
      </c>
      <c r="F10">
        <v>4.0999999999999996</v>
      </c>
      <c r="G10">
        <f t="shared" si="0"/>
        <v>4.0999999999999996</v>
      </c>
      <c r="H10">
        <f t="shared" si="1"/>
        <v>20</v>
      </c>
      <c r="I10">
        <f t="shared" si="2"/>
        <v>1758</v>
      </c>
      <c r="J10">
        <f t="shared" si="3"/>
        <v>4.0999999999999996</v>
      </c>
      <c r="L10" t="s">
        <v>154</v>
      </c>
      <c r="M10" s="1">
        <v>0.61</v>
      </c>
    </row>
    <row r="11" spans="1:18" x14ac:dyDescent="0.25">
      <c r="A11" t="s">
        <v>111</v>
      </c>
      <c r="B11">
        <v>1940</v>
      </c>
      <c r="C11">
        <v>2650</v>
      </c>
      <c r="D11" s="1">
        <v>0.27</v>
      </c>
      <c r="E11">
        <v>20</v>
      </c>
      <c r="F11">
        <v>4.7</v>
      </c>
      <c r="G11">
        <f t="shared" si="0"/>
        <v>4.7</v>
      </c>
      <c r="H11">
        <f t="shared" si="1"/>
        <v>20</v>
      </c>
      <c r="I11">
        <f t="shared" si="2"/>
        <v>1940</v>
      </c>
      <c r="J11">
        <f t="shared" si="3"/>
        <v>4.7</v>
      </c>
      <c r="L11" t="s">
        <v>35</v>
      </c>
      <c r="M11" s="1">
        <v>0.55000000000000004</v>
      </c>
    </row>
    <row r="12" spans="1:18" x14ac:dyDescent="0.25">
      <c r="A12" t="s">
        <v>215</v>
      </c>
      <c r="B12">
        <v>382</v>
      </c>
      <c r="C12">
        <v>700</v>
      </c>
      <c r="D12" s="1">
        <v>0.45</v>
      </c>
      <c r="E12">
        <v>17</v>
      </c>
      <c r="F12">
        <v>2.6</v>
      </c>
      <c r="G12">
        <f t="shared" si="0"/>
        <v>2.6</v>
      </c>
      <c r="H12">
        <f t="shared" si="1"/>
        <v>17</v>
      </c>
      <c r="I12">
        <f t="shared" si="2"/>
        <v>382</v>
      </c>
      <c r="J12">
        <f t="shared" si="3"/>
        <v>2.6</v>
      </c>
      <c r="L12" t="s">
        <v>170</v>
      </c>
      <c r="M12" s="1">
        <v>0.55000000000000004</v>
      </c>
    </row>
    <row r="13" spans="1:18" x14ac:dyDescent="0.25">
      <c r="A13" t="s">
        <v>202</v>
      </c>
      <c r="B13">
        <v>1220</v>
      </c>
      <c r="C13">
        <v>1555</v>
      </c>
      <c r="D13" s="1">
        <v>0.22</v>
      </c>
      <c r="E13">
        <v>16</v>
      </c>
      <c r="F13">
        <v>2.9</v>
      </c>
      <c r="G13">
        <f t="shared" si="0"/>
        <v>2.9</v>
      </c>
      <c r="H13">
        <f t="shared" si="1"/>
        <v>16</v>
      </c>
      <c r="I13">
        <f t="shared" si="2"/>
        <v>1220</v>
      </c>
      <c r="J13">
        <f t="shared" si="3"/>
        <v>2.9</v>
      </c>
      <c r="L13" t="s">
        <v>190</v>
      </c>
      <c r="M13" s="1">
        <v>0.55000000000000004</v>
      </c>
    </row>
    <row r="14" spans="1:18" x14ac:dyDescent="0.25">
      <c r="A14" t="s">
        <v>198</v>
      </c>
      <c r="B14">
        <v>325</v>
      </c>
      <c r="C14">
        <v>680</v>
      </c>
      <c r="D14" s="1">
        <v>0.52</v>
      </c>
      <c r="E14">
        <v>15</v>
      </c>
      <c r="F14">
        <v>2.7</v>
      </c>
      <c r="G14">
        <f t="shared" si="0"/>
        <v>2.7</v>
      </c>
      <c r="H14">
        <f t="shared" si="1"/>
        <v>15</v>
      </c>
      <c r="I14">
        <f t="shared" si="2"/>
        <v>325</v>
      </c>
      <c r="J14">
        <f t="shared" si="3"/>
        <v>2.7</v>
      </c>
      <c r="L14" t="s">
        <v>85</v>
      </c>
      <c r="M14" s="1">
        <v>0.54</v>
      </c>
    </row>
    <row r="15" spans="1:18" x14ac:dyDescent="0.25">
      <c r="A15" t="s">
        <v>26</v>
      </c>
      <c r="B15">
        <v>2999</v>
      </c>
      <c r="C15">
        <v>3290</v>
      </c>
      <c r="D15" s="1">
        <v>0.09</v>
      </c>
      <c r="E15">
        <v>15</v>
      </c>
      <c r="F15">
        <v>4</v>
      </c>
      <c r="G15">
        <f t="shared" si="0"/>
        <v>4</v>
      </c>
      <c r="H15">
        <f t="shared" si="1"/>
        <v>15</v>
      </c>
      <c r="I15">
        <f t="shared" si="2"/>
        <v>2999</v>
      </c>
      <c r="J15">
        <f t="shared" si="3"/>
        <v>4</v>
      </c>
      <c r="L15" t="s">
        <v>186</v>
      </c>
      <c r="M15" s="1">
        <v>0.54</v>
      </c>
    </row>
    <row r="16" spans="1:18" x14ac:dyDescent="0.25">
      <c r="A16" t="s">
        <v>10</v>
      </c>
      <c r="B16">
        <v>527</v>
      </c>
      <c r="C16">
        <v>999</v>
      </c>
      <c r="D16" s="1">
        <v>0.47</v>
      </c>
      <c r="E16">
        <v>14</v>
      </c>
      <c r="F16">
        <v>4.0999999999999996</v>
      </c>
      <c r="G16">
        <f t="shared" si="0"/>
        <v>4.0999999999999996</v>
      </c>
      <c r="H16">
        <f t="shared" si="1"/>
        <v>14</v>
      </c>
      <c r="I16">
        <f t="shared" si="2"/>
        <v>527</v>
      </c>
      <c r="J16">
        <f t="shared" si="3"/>
        <v>4.0999999999999996</v>
      </c>
      <c r="L16" t="s">
        <v>71</v>
      </c>
      <c r="M16" s="1">
        <v>0.53</v>
      </c>
    </row>
    <row r="17" spans="1:13" x14ac:dyDescent="0.25">
      <c r="A17" t="s">
        <v>81</v>
      </c>
      <c r="B17">
        <v>1650</v>
      </c>
      <c r="C17">
        <v>2150</v>
      </c>
      <c r="D17" s="1">
        <v>0.23</v>
      </c>
      <c r="E17">
        <v>14</v>
      </c>
      <c r="F17">
        <v>4.4000000000000004</v>
      </c>
      <c r="G17">
        <f t="shared" si="0"/>
        <v>4.4000000000000004</v>
      </c>
      <c r="H17">
        <f t="shared" si="1"/>
        <v>14</v>
      </c>
      <c r="I17">
        <f t="shared" si="2"/>
        <v>1650</v>
      </c>
      <c r="J17">
        <f t="shared" si="3"/>
        <v>4.4000000000000004</v>
      </c>
      <c r="L17" t="s">
        <v>120</v>
      </c>
      <c r="M17" s="1">
        <v>0.53</v>
      </c>
    </row>
    <row r="18" spans="1:13" x14ac:dyDescent="0.25">
      <c r="A18" t="s">
        <v>190</v>
      </c>
      <c r="B18">
        <v>2115</v>
      </c>
      <c r="C18">
        <v>4700</v>
      </c>
      <c r="D18" s="1">
        <v>0.55000000000000004</v>
      </c>
      <c r="E18">
        <v>13</v>
      </c>
      <c r="F18">
        <v>2.1</v>
      </c>
      <c r="G18">
        <f t="shared" si="0"/>
        <v>2.1</v>
      </c>
      <c r="H18">
        <f t="shared" si="1"/>
        <v>13</v>
      </c>
      <c r="I18">
        <f t="shared" si="2"/>
        <v>2115</v>
      </c>
      <c r="J18">
        <f t="shared" si="3"/>
        <v>2.1</v>
      </c>
      <c r="L18" t="s">
        <v>102</v>
      </c>
      <c r="M18" s="1">
        <v>0.52</v>
      </c>
    </row>
    <row r="19" spans="1:13" x14ac:dyDescent="0.25">
      <c r="A19" t="s">
        <v>71</v>
      </c>
      <c r="B19">
        <v>38</v>
      </c>
      <c r="C19">
        <v>80</v>
      </c>
      <c r="D19" s="1">
        <v>0.53</v>
      </c>
      <c r="E19">
        <v>13</v>
      </c>
      <c r="F19">
        <v>3.3</v>
      </c>
      <c r="G19">
        <f t="shared" si="0"/>
        <v>3.3</v>
      </c>
      <c r="H19">
        <f t="shared" si="1"/>
        <v>13</v>
      </c>
      <c r="I19">
        <f t="shared" si="2"/>
        <v>38</v>
      </c>
      <c r="J19">
        <f t="shared" si="3"/>
        <v>3.3</v>
      </c>
    </row>
    <row r="20" spans="1:13" x14ac:dyDescent="0.25">
      <c r="A20" t="s">
        <v>95</v>
      </c>
      <c r="B20">
        <v>1350</v>
      </c>
      <c r="C20">
        <v>1990</v>
      </c>
      <c r="D20" s="1">
        <v>0.32</v>
      </c>
      <c r="E20">
        <v>13</v>
      </c>
      <c r="F20">
        <v>3.8</v>
      </c>
      <c r="G20">
        <f t="shared" si="0"/>
        <v>3.8</v>
      </c>
      <c r="H20">
        <f t="shared" si="1"/>
        <v>13</v>
      </c>
      <c r="I20">
        <f t="shared" si="2"/>
        <v>1350</v>
      </c>
      <c r="J20">
        <f t="shared" si="3"/>
        <v>3.8</v>
      </c>
      <c r="L20" s="10" t="s">
        <v>469</v>
      </c>
    </row>
    <row r="21" spans="1:13" x14ac:dyDescent="0.25">
      <c r="A21" t="s">
        <v>47</v>
      </c>
      <c r="B21">
        <v>552</v>
      </c>
      <c r="C21">
        <v>1035</v>
      </c>
      <c r="D21" s="1">
        <v>0.47</v>
      </c>
      <c r="E21">
        <v>12</v>
      </c>
      <c r="F21">
        <v>4.8</v>
      </c>
      <c r="G21">
        <f t="shared" si="0"/>
        <v>4.8</v>
      </c>
      <c r="H21">
        <f t="shared" si="1"/>
        <v>12</v>
      </c>
      <c r="I21">
        <f t="shared" si="2"/>
        <v>552</v>
      </c>
      <c r="J21">
        <f t="shared" si="3"/>
        <v>4.8</v>
      </c>
      <c r="L21" s="10" t="s">
        <v>0</v>
      </c>
      <c r="M21" s="10" t="s">
        <v>4</v>
      </c>
    </row>
    <row r="22" spans="1:13" x14ac:dyDescent="0.25">
      <c r="A22" t="s">
        <v>105</v>
      </c>
      <c r="B22">
        <v>980</v>
      </c>
      <c r="C22">
        <v>1490</v>
      </c>
      <c r="D22" s="1">
        <v>0.34</v>
      </c>
      <c r="E22">
        <v>12</v>
      </c>
      <c r="F22">
        <v>4.7</v>
      </c>
      <c r="G22">
        <f t="shared" si="0"/>
        <v>4.7</v>
      </c>
      <c r="H22">
        <f t="shared" si="1"/>
        <v>12</v>
      </c>
      <c r="I22">
        <f t="shared" si="2"/>
        <v>980</v>
      </c>
      <c r="J22">
        <f t="shared" si="3"/>
        <v>4.7</v>
      </c>
      <c r="L22" t="s">
        <v>194</v>
      </c>
      <c r="M22">
        <v>69</v>
      </c>
    </row>
    <row r="23" spans="1:13" x14ac:dyDescent="0.25">
      <c r="A23" t="s">
        <v>42</v>
      </c>
      <c r="B23">
        <v>799</v>
      </c>
      <c r="C23">
        <v>999</v>
      </c>
      <c r="D23" s="1">
        <v>0.2</v>
      </c>
      <c r="E23">
        <v>12</v>
      </c>
      <c r="F23">
        <v>4.0999999999999996</v>
      </c>
      <c r="G23">
        <f t="shared" si="0"/>
        <v>4.0999999999999996</v>
      </c>
      <c r="H23">
        <f t="shared" si="1"/>
        <v>12</v>
      </c>
      <c r="I23">
        <f t="shared" si="2"/>
        <v>799</v>
      </c>
      <c r="J23">
        <f t="shared" si="3"/>
        <v>4.0999999999999996</v>
      </c>
      <c r="L23" t="s">
        <v>30</v>
      </c>
      <c r="M23">
        <v>55</v>
      </c>
    </row>
    <row r="24" spans="1:13" x14ac:dyDescent="0.25">
      <c r="A24" t="s">
        <v>92</v>
      </c>
      <c r="B24">
        <v>2880</v>
      </c>
      <c r="C24">
        <v>3520</v>
      </c>
      <c r="D24" s="1">
        <v>0.18</v>
      </c>
      <c r="E24">
        <v>12</v>
      </c>
      <c r="F24">
        <v>3.8</v>
      </c>
      <c r="G24">
        <f t="shared" si="0"/>
        <v>3.8</v>
      </c>
      <c r="H24">
        <f t="shared" si="1"/>
        <v>12</v>
      </c>
      <c r="I24">
        <f t="shared" si="2"/>
        <v>2880</v>
      </c>
      <c r="J24">
        <f t="shared" si="3"/>
        <v>3.8</v>
      </c>
      <c r="L24" t="s">
        <v>89</v>
      </c>
      <c r="M24">
        <v>49</v>
      </c>
    </row>
    <row r="25" spans="1:13" x14ac:dyDescent="0.25">
      <c r="A25" t="s">
        <v>186</v>
      </c>
      <c r="B25">
        <v>458</v>
      </c>
      <c r="C25">
        <v>986</v>
      </c>
      <c r="D25" s="1">
        <v>0.54</v>
      </c>
      <c r="E25">
        <v>10</v>
      </c>
      <c r="F25">
        <v>3</v>
      </c>
      <c r="G25">
        <f t="shared" si="0"/>
        <v>3</v>
      </c>
      <c r="H25">
        <f t="shared" si="1"/>
        <v>10</v>
      </c>
      <c r="I25">
        <f t="shared" si="2"/>
        <v>458</v>
      </c>
      <c r="J25">
        <f t="shared" si="3"/>
        <v>3</v>
      </c>
      <c r="L25" t="s">
        <v>68</v>
      </c>
      <c r="M25">
        <v>44</v>
      </c>
    </row>
    <row r="26" spans="1:13" x14ac:dyDescent="0.25">
      <c r="A26" t="s">
        <v>102</v>
      </c>
      <c r="B26">
        <v>185</v>
      </c>
      <c r="C26">
        <v>382</v>
      </c>
      <c r="D26" s="1">
        <v>0.52</v>
      </c>
      <c r="E26">
        <v>9</v>
      </c>
      <c r="F26">
        <v>4.3</v>
      </c>
      <c r="G26">
        <f t="shared" si="0"/>
        <v>4.3</v>
      </c>
      <c r="H26">
        <f t="shared" si="1"/>
        <v>9</v>
      </c>
      <c r="I26">
        <f t="shared" si="2"/>
        <v>185</v>
      </c>
      <c r="J26">
        <f t="shared" si="3"/>
        <v>4.3</v>
      </c>
      <c r="L26" t="s">
        <v>44</v>
      </c>
      <c r="M26">
        <v>39</v>
      </c>
    </row>
    <row r="27" spans="1:13" x14ac:dyDescent="0.25">
      <c r="A27" t="s">
        <v>108</v>
      </c>
      <c r="B27">
        <v>1820</v>
      </c>
      <c r="C27">
        <v>3490</v>
      </c>
      <c r="D27" s="1">
        <v>0.48</v>
      </c>
      <c r="E27">
        <v>9</v>
      </c>
      <c r="F27">
        <v>4.3</v>
      </c>
      <c r="G27">
        <f t="shared" si="0"/>
        <v>4.3</v>
      </c>
      <c r="H27">
        <f t="shared" si="1"/>
        <v>9</v>
      </c>
      <c r="I27">
        <f t="shared" si="2"/>
        <v>1820</v>
      </c>
      <c r="J27">
        <f t="shared" si="3"/>
        <v>4.3</v>
      </c>
      <c r="L27" t="s">
        <v>122</v>
      </c>
      <c r="M27">
        <v>36</v>
      </c>
    </row>
    <row r="28" spans="1:13" x14ac:dyDescent="0.25">
      <c r="A28" t="s">
        <v>53</v>
      </c>
      <c r="B28">
        <v>1680</v>
      </c>
      <c r="C28">
        <v>2499</v>
      </c>
      <c r="D28" s="1">
        <v>0.33</v>
      </c>
      <c r="E28">
        <v>9</v>
      </c>
      <c r="F28">
        <v>4.2</v>
      </c>
      <c r="G28">
        <f t="shared" si="0"/>
        <v>4.2</v>
      </c>
      <c r="H28">
        <f t="shared" si="1"/>
        <v>9</v>
      </c>
      <c r="I28">
        <f t="shared" si="2"/>
        <v>1680</v>
      </c>
      <c r="J28">
        <f t="shared" si="3"/>
        <v>4.2</v>
      </c>
      <c r="L28" t="s">
        <v>114</v>
      </c>
      <c r="M28">
        <v>32</v>
      </c>
    </row>
    <row r="29" spans="1:13" x14ac:dyDescent="0.25">
      <c r="A29" t="s">
        <v>85</v>
      </c>
      <c r="B29">
        <v>2048</v>
      </c>
      <c r="C29">
        <v>4500</v>
      </c>
      <c r="D29" s="1">
        <v>0.54</v>
      </c>
      <c r="E29">
        <v>7</v>
      </c>
      <c r="F29">
        <v>4.3</v>
      </c>
      <c r="G29">
        <f t="shared" si="0"/>
        <v>4.3</v>
      </c>
      <c r="H29">
        <f t="shared" si="1"/>
        <v>7</v>
      </c>
      <c r="I29">
        <f t="shared" si="2"/>
        <v>2048</v>
      </c>
      <c r="J29">
        <f t="shared" si="3"/>
        <v>4.3</v>
      </c>
      <c r="L29" t="s">
        <v>14</v>
      </c>
      <c r="M29">
        <v>24</v>
      </c>
    </row>
    <row r="30" spans="1:13" x14ac:dyDescent="0.25">
      <c r="A30" t="s">
        <v>209</v>
      </c>
      <c r="B30">
        <v>1000</v>
      </c>
      <c r="C30">
        <v>2000</v>
      </c>
      <c r="D30" s="1">
        <v>0.5</v>
      </c>
      <c r="E30">
        <v>7</v>
      </c>
      <c r="F30">
        <v>2.2999999999999998</v>
      </c>
      <c r="G30">
        <f t="shared" si="0"/>
        <v>2.2999999999999998</v>
      </c>
      <c r="H30">
        <f t="shared" si="1"/>
        <v>7</v>
      </c>
      <c r="I30">
        <f t="shared" si="2"/>
        <v>1000</v>
      </c>
      <c r="J30">
        <f t="shared" si="3"/>
        <v>2.2999999999999998</v>
      </c>
      <c r="L30" t="s">
        <v>97</v>
      </c>
      <c r="M30">
        <v>20</v>
      </c>
    </row>
    <row r="31" spans="1:13" x14ac:dyDescent="0.25">
      <c r="A31" t="s">
        <v>229</v>
      </c>
      <c r="B31">
        <v>1570</v>
      </c>
      <c r="C31">
        <v>2988</v>
      </c>
      <c r="D31" s="1">
        <v>0.47</v>
      </c>
      <c r="E31">
        <v>7</v>
      </c>
      <c r="F31">
        <v>2.1</v>
      </c>
      <c r="G31">
        <f t="shared" si="0"/>
        <v>2.1</v>
      </c>
      <c r="H31">
        <f t="shared" si="1"/>
        <v>7</v>
      </c>
      <c r="I31">
        <f t="shared" si="2"/>
        <v>1570</v>
      </c>
      <c r="J31">
        <f t="shared" si="3"/>
        <v>2.1</v>
      </c>
      <c r="L31" t="s">
        <v>111</v>
      </c>
      <c r="M31">
        <v>20</v>
      </c>
    </row>
    <row r="32" spans="1:13" x14ac:dyDescent="0.25">
      <c r="A32" t="s">
        <v>18</v>
      </c>
      <c r="B32">
        <v>1580</v>
      </c>
      <c r="C32">
        <v>2499</v>
      </c>
      <c r="D32" s="1">
        <v>0.37</v>
      </c>
      <c r="E32">
        <v>7</v>
      </c>
      <c r="F32">
        <v>4.7</v>
      </c>
      <c r="G32">
        <f t="shared" si="0"/>
        <v>4.7</v>
      </c>
      <c r="H32">
        <f t="shared" si="1"/>
        <v>7</v>
      </c>
      <c r="I32">
        <f t="shared" si="2"/>
        <v>1580</v>
      </c>
      <c r="J32">
        <f t="shared" si="3"/>
        <v>4.7</v>
      </c>
    </row>
    <row r="33" spans="1:14" x14ac:dyDescent="0.25">
      <c r="A33" t="s">
        <v>227</v>
      </c>
      <c r="B33">
        <v>968</v>
      </c>
      <c r="C33">
        <v>1814</v>
      </c>
      <c r="D33" s="1">
        <v>0.47</v>
      </c>
      <c r="E33">
        <v>6</v>
      </c>
      <c r="F33">
        <v>2.2000000000000002</v>
      </c>
      <c r="G33">
        <f t="shared" si="0"/>
        <v>2.2000000000000002</v>
      </c>
      <c r="H33">
        <f t="shared" si="1"/>
        <v>6</v>
      </c>
      <c r="I33">
        <f t="shared" si="2"/>
        <v>968</v>
      </c>
      <c r="J33">
        <f t="shared" si="3"/>
        <v>2.2000000000000002</v>
      </c>
      <c r="L33" s="10" t="s">
        <v>470</v>
      </c>
    </row>
    <row r="34" spans="1:14" x14ac:dyDescent="0.25">
      <c r="A34" t="s">
        <v>206</v>
      </c>
      <c r="B34">
        <v>990</v>
      </c>
      <c r="C34">
        <v>1814</v>
      </c>
      <c r="D34" s="1">
        <v>0.45</v>
      </c>
      <c r="E34">
        <v>6</v>
      </c>
      <c r="F34">
        <v>2.2000000000000002</v>
      </c>
      <c r="G34">
        <f t="shared" ref="G34:G65" si="4">IF(F34="",NA(),F34)</f>
        <v>2.2000000000000002</v>
      </c>
      <c r="H34">
        <f t="shared" ref="H34:H65" si="5">IF(F34="",NA(),E34)</f>
        <v>6</v>
      </c>
      <c r="I34">
        <f t="shared" ref="I34:I65" si="6">IF(F34="",NA(),B34)</f>
        <v>990</v>
      </c>
      <c r="J34">
        <f t="shared" ref="J34:J65" si="7">IF(F34="",NA(),F34)</f>
        <v>2.2000000000000002</v>
      </c>
      <c r="L34" s="10" t="s">
        <v>0</v>
      </c>
      <c r="M34" s="10"/>
      <c r="N34" s="10" t="s">
        <v>351</v>
      </c>
    </row>
    <row r="35" spans="1:14" x14ac:dyDescent="0.25">
      <c r="A35" t="s">
        <v>221</v>
      </c>
      <c r="B35">
        <v>345</v>
      </c>
      <c r="C35">
        <v>602</v>
      </c>
      <c r="D35" s="1">
        <v>0.43</v>
      </c>
      <c r="E35">
        <v>6</v>
      </c>
      <c r="F35">
        <v>2.2999999999999998</v>
      </c>
      <c r="G35">
        <f t="shared" si="4"/>
        <v>2.2999999999999998</v>
      </c>
      <c r="H35">
        <f t="shared" si="5"/>
        <v>6</v>
      </c>
      <c r="I35">
        <f t="shared" si="6"/>
        <v>345</v>
      </c>
      <c r="J35">
        <f t="shared" si="7"/>
        <v>2.2999999999999998</v>
      </c>
      <c r="L35" t="s">
        <v>63</v>
      </c>
      <c r="N35">
        <v>5</v>
      </c>
    </row>
    <row r="36" spans="1:14" x14ac:dyDescent="0.25">
      <c r="A36" t="s">
        <v>50</v>
      </c>
      <c r="B36">
        <v>501</v>
      </c>
      <c r="C36">
        <v>860</v>
      </c>
      <c r="D36" s="1">
        <v>0.42</v>
      </c>
      <c r="E36">
        <v>6</v>
      </c>
      <c r="F36">
        <v>4.5</v>
      </c>
      <c r="G36">
        <f t="shared" si="4"/>
        <v>4.5</v>
      </c>
      <c r="H36">
        <f t="shared" si="5"/>
        <v>6</v>
      </c>
      <c r="I36">
        <f t="shared" si="6"/>
        <v>501</v>
      </c>
      <c r="J36">
        <f t="shared" si="7"/>
        <v>4.5</v>
      </c>
      <c r="L36" t="s">
        <v>120</v>
      </c>
      <c r="N36">
        <v>5</v>
      </c>
    </row>
    <row r="37" spans="1:14" x14ac:dyDescent="0.25">
      <c r="A37" t="s">
        <v>78</v>
      </c>
      <c r="B37">
        <v>880</v>
      </c>
      <c r="C37">
        <v>1350</v>
      </c>
      <c r="D37" s="1">
        <v>0.35</v>
      </c>
      <c r="E37">
        <v>6</v>
      </c>
      <c r="F37">
        <v>4</v>
      </c>
      <c r="G37">
        <f t="shared" si="4"/>
        <v>4</v>
      </c>
      <c r="H37">
        <f t="shared" si="5"/>
        <v>6</v>
      </c>
      <c r="I37">
        <f t="shared" si="6"/>
        <v>880</v>
      </c>
      <c r="J37">
        <f t="shared" si="7"/>
        <v>4</v>
      </c>
      <c r="L37" t="s">
        <v>56</v>
      </c>
      <c r="N37">
        <v>5</v>
      </c>
    </row>
    <row r="38" spans="1:14" x14ac:dyDescent="0.25">
      <c r="A38" t="s">
        <v>182</v>
      </c>
      <c r="B38">
        <v>2170</v>
      </c>
      <c r="C38">
        <v>2500</v>
      </c>
      <c r="D38" s="1">
        <v>0.13</v>
      </c>
      <c r="E38">
        <v>6</v>
      </c>
      <c r="F38">
        <v>2.5</v>
      </c>
      <c r="G38">
        <f t="shared" si="4"/>
        <v>2.5</v>
      </c>
      <c r="H38">
        <f t="shared" si="5"/>
        <v>6</v>
      </c>
      <c r="I38">
        <f t="shared" si="6"/>
        <v>2170</v>
      </c>
      <c r="J38">
        <f t="shared" si="7"/>
        <v>2.5</v>
      </c>
      <c r="L38" t="s">
        <v>60</v>
      </c>
      <c r="N38">
        <v>5</v>
      </c>
    </row>
    <row r="39" spans="1:14" x14ac:dyDescent="0.25">
      <c r="A39" t="s">
        <v>35</v>
      </c>
      <c r="B39">
        <v>1274</v>
      </c>
      <c r="C39">
        <v>2800</v>
      </c>
      <c r="D39" s="1">
        <v>0.55000000000000004</v>
      </c>
      <c r="E39">
        <v>5</v>
      </c>
      <c r="F39">
        <v>4.8</v>
      </c>
      <c r="G39">
        <f t="shared" si="4"/>
        <v>4.8</v>
      </c>
      <c r="H39">
        <f t="shared" si="5"/>
        <v>5</v>
      </c>
      <c r="I39">
        <f t="shared" si="6"/>
        <v>1274</v>
      </c>
      <c r="J39">
        <f t="shared" si="7"/>
        <v>4.8</v>
      </c>
      <c r="L39" t="s">
        <v>245</v>
      </c>
      <c r="N39">
        <v>5</v>
      </c>
    </row>
    <row r="40" spans="1:14" x14ac:dyDescent="0.25">
      <c r="A40" t="s">
        <v>38</v>
      </c>
      <c r="B40">
        <v>1600</v>
      </c>
      <c r="C40">
        <v>2929</v>
      </c>
      <c r="D40" s="1">
        <v>0.45</v>
      </c>
      <c r="E40">
        <v>5</v>
      </c>
      <c r="F40">
        <v>3.8</v>
      </c>
      <c r="G40">
        <f t="shared" si="4"/>
        <v>3.8</v>
      </c>
      <c r="H40">
        <f t="shared" si="5"/>
        <v>5</v>
      </c>
      <c r="I40">
        <f t="shared" si="6"/>
        <v>1600</v>
      </c>
      <c r="J40">
        <f t="shared" si="7"/>
        <v>3.8</v>
      </c>
      <c r="L40" t="s">
        <v>117</v>
      </c>
      <c r="N40">
        <v>5</v>
      </c>
    </row>
    <row r="41" spans="1:14" x14ac:dyDescent="0.25">
      <c r="A41" t="s">
        <v>224</v>
      </c>
      <c r="B41">
        <v>509</v>
      </c>
      <c r="C41">
        <v>899</v>
      </c>
      <c r="D41" s="1">
        <v>0.43</v>
      </c>
      <c r="E41">
        <v>5</v>
      </c>
      <c r="F41">
        <v>3</v>
      </c>
      <c r="G41">
        <f t="shared" si="4"/>
        <v>3</v>
      </c>
      <c r="H41">
        <f t="shared" si="5"/>
        <v>5</v>
      </c>
      <c r="I41">
        <f t="shared" si="6"/>
        <v>509</v>
      </c>
      <c r="J41">
        <f t="shared" si="7"/>
        <v>3</v>
      </c>
      <c r="L41" t="s">
        <v>295</v>
      </c>
      <c r="N41">
        <v>5</v>
      </c>
    </row>
    <row r="42" spans="1:14" x14ac:dyDescent="0.25">
      <c r="A42" t="s">
        <v>212</v>
      </c>
      <c r="B42">
        <v>3750</v>
      </c>
      <c r="C42">
        <v>6143</v>
      </c>
      <c r="D42" s="1">
        <v>0.39</v>
      </c>
      <c r="E42">
        <v>5</v>
      </c>
      <c r="F42">
        <v>3</v>
      </c>
      <c r="G42">
        <f t="shared" si="4"/>
        <v>3</v>
      </c>
      <c r="H42">
        <f t="shared" si="5"/>
        <v>5</v>
      </c>
      <c r="I42">
        <f t="shared" si="6"/>
        <v>3750</v>
      </c>
      <c r="J42">
        <f t="shared" si="7"/>
        <v>3</v>
      </c>
      <c r="L42" t="s">
        <v>47</v>
      </c>
      <c r="N42">
        <v>4.8</v>
      </c>
    </row>
    <row r="43" spans="1:14" x14ac:dyDescent="0.25">
      <c r="A43" t="s">
        <v>218</v>
      </c>
      <c r="B43">
        <v>2300</v>
      </c>
      <c r="C43">
        <v>3240</v>
      </c>
      <c r="D43" s="1">
        <v>0.28999999999999998</v>
      </c>
      <c r="E43">
        <v>5</v>
      </c>
      <c r="F43">
        <v>3</v>
      </c>
      <c r="G43">
        <f t="shared" si="4"/>
        <v>3</v>
      </c>
      <c r="H43">
        <f t="shared" si="5"/>
        <v>5</v>
      </c>
      <c r="I43">
        <f t="shared" si="6"/>
        <v>2300</v>
      </c>
      <c r="J43">
        <f t="shared" si="7"/>
        <v>3</v>
      </c>
      <c r="L43" t="s">
        <v>35</v>
      </c>
      <c r="N43">
        <v>4.8</v>
      </c>
    </row>
    <row r="44" spans="1:14" x14ac:dyDescent="0.25">
      <c r="A44" t="s">
        <v>22</v>
      </c>
      <c r="B44">
        <v>1740</v>
      </c>
      <c r="C44">
        <v>2356</v>
      </c>
      <c r="D44" s="1">
        <v>0.26</v>
      </c>
      <c r="E44">
        <v>5</v>
      </c>
      <c r="F44">
        <v>4.8</v>
      </c>
      <c r="G44">
        <f t="shared" si="4"/>
        <v>4.8</v>
      </c>
      <c r="H44">
        <f t="shared" si="5"/>
        <v>5</v>
      </c>
      <c r="I44">
        <f t="shared" si="6"/>
        <v>1740</v>
      </c>
      <c r="J44">
        <f t="shared" si="7"/>
        <v>4.8</v>
      </c>
      <c r="L44" t="s">
        <v>22</v>
      </c>
      <c r="N44">
        <v>4.8</v>
      </c>
    </row>
    <row r="45" spans="1:14" x14ac:dyDescent="0.25">
      <c r="A45" t="s">
        <v>66</v>
      </c>
      <c r="B45">
        <v>2999</v>
      </c>
      <c r="C45">
        <v>3699</v>
      </c>
      <c r="D45" s="1">
        <v>0.19</v>
      </c>
      <c r="E45">
        <v>5</v>
      </c>
      <c r="F45">
        <v>4.5999999999999996</v>
      </c>
      <c r="G45">
        <f t="shared" si="4"/>
        <v>4.5999999999999996</v>
      </c>
      <c r="H45">
        <f t="shared" si="5"/>
        <v>5</v>
      </c>
      <c r="I45">
        <f t="shared" si="6"/>
        <v>2999</v>
      </c>
      <c r="J45">
        <f t="shared" si="7"/>
        <v>4.5999999999999996</v>
      </c>
    </row>
    <row r="46" spans="1:14" x14ac:dyDescent="0.25">
      <c r="A46" t="s">
        <v>63</v>
      </c>
      <c r="B46">
        <v>2025</v>
      </c>
      <c r="C46">
        <v>3971</v>
      </c>
      <c r="D46" s="1">
        <v>0.49</v>
      </c>
      <c r="E46">
        <v>3</v>
      </c>
      <c r="F46">
        <v>5</v>
      </c>
      <c r="G46">
        <f t="shared" si="4"/>
        <v>5</v>
      </c>
      <c r="H46">
        <f t="shared" si="5"/>
        <v>3</v>
      </c>
      <c r="I46">
        <f t="shared" si="6"/>
        <v>2025</v>
      </c>
      <c r="J46">
        <f t="shared" si="7"/>
        <v>5</v>
      </c>
      <c r="L46" s="10" t="s">
        <v>471</v>
      </c>
    </row>
    <row r="47" spans="1:14" x14ac:dyDescent="0.25">
      <c r="A47" t="s">
        <v>120</v>
      </c>
      <c r="B47">
        <v>171</v>
      </c>
      <c r="C47">
        <v>360</v>
      </c>
      <c r="D47" s="1">
        <v>0.53</v>
      </c>
      <c r="E47">
        <v>2</v>
      </c>
      <c r="F47">
        <v>5</v>
      </c>
      <c r="G47">
        <f t="shared" si="4"/>
        <v>5</v>
      </c>
      <c r="H47">
        <f t="shared" si="5"/>
        <v>2</v>
      </c>
      <c r="I47">
        <f t="shared" si="6"/>
        <v>171</v>
      </c>
      <c r="J47">
        <f t="shared" si="7"/>
        <v>5</v>
      </c>
      <c r="L47" s="10" t="s">
        <v>0</v>
      </c>
      <c r="M47" s="10" t="s">
        <v>351</v>
      </c>
    </row>
    <row r="48" spans="1:14" x14ac:dyDescent="0.25">
      <c r="A48" t="s">
        <v>56</v>
      </c>
      <c r="B48">
        <v>332</v>
      </c>
      <c r="C48">
        <v>684</v>
      </c>
      <c r="D48" s="1">
        <v>0.51</v>
      </c>
      <c r="E48">
        <v>2</v>
      </c>
      <c r="F48">
        <v>5</v>
      </c>
      <c r="G48">
        <f t="shared" si="4"/>
        <v>5</v>
      </c>
      <c r="H48">
        <f t="shared" si="5"/>
        <v>2</v>
      </c>
      <c r="I48">
        <f t="shared" si="6"/>
        <v>332</v>
      </c>
      <c r="J48">
        <f t="shared" si="7"/>
        <v>5</v>
      </c>
      <c r="L48" t="s">
        <v>318</v>
      </c>
      <c r="M48">
        <v>2</v>
      </c>
    </row>
    <row r="49" spans="1:16" x14ac:dyDescent="0.25">
      <c r="A49" t="s">
        <v>60</v>
      </c>
      <c r="B49">
        <v>195</v>
      </c>
      <c r="C49">
        <v>360</v>
      </c>
      <c r="D49" s="1">
        <v>0.46</v>
      </c>
      <c r="E49">
        <v>2</v>
      </c>
      <c r="F49">
        <v>5</v>
      </c>
      <c r="G49">
        <f t="shared" si="4"/>
        <v>5</v>
      </c>
      <c r="H49">
        <f t="shared" si="5"/>
        <v>2</v>
      </c>
      <c r="I49">
        <f t="shared" si="6"/>
        <v>195</v>
      </c>
      <c r="J49">
        <f t="shared" si="7"/>
        <v>5</v>
      </c>
      <c r="L49" t="s">
        <v>190</v>
      </c>
      <c r="M49">
        <v>2.1</v>
      </c>
    </row>
    <row r="50" spans="1:16" x14ac:dyDescent="0.25">
      <c r="A50" t="s">
        <v>6</v>
      </c>
      <c r="B50">
        <v>950</v>
      </c>
      <c r="C50">
        <v>1525</v>
      </c>
      <c r="D50" s="1">
        <v>0.38</v>
      </c>
      <c r="E50">
        <v>2</v>
      </c>
      <c r="F50">
        <v>4.5</v>
      </c>
      <c r="G50">
        <f t="shared" si="4"/>
        <v>4.5</v>
      </c>
      <c r="H50">
        <f t="shared" si="5"/>
        <v>2</v>
      </c>
      <c r="I50">
        <f t="shared" si="6"/>
        <v>950</v>
      </c>
      <c r="J50">
        <f t="shared" si="7"/>
        <v>4.5</v>
      </c>
      <c r="L50" t="s">
        <v>229</v>
      </c>
      <c r="M50">
        <v>2.1</v>
      </c>
    </row>
    <row r="51" spans="1:16" x14ac:dyDescent="0.25">
      <c r="A51" t="s">
        <v>125</v>
      </c>
      <c r="B51">
        <v>1800</v>
      </c>
      <c r="C51">
        <v>2700</v>
      </c>
      <c r="D51" s="1">
        <v>0.38</v>
      </c>
      <c r="E51">
        <v>2</v>
      </c>
      <c r="F51">
        <v>4.5</v>
      </c>
      <c r="G51">
        <f t="shared" si="4"/>
        <v>4.5</v>
      </c>
      <c r="H51">
        <f t="shared" si="5"/>
        <v>2</v>
      </c>
      <c r="I51">
        <f t="shared" si="6"/>
        <v>1800</v>
      </c>
      <c r="J51">
        <f t="shared" si="7"/>
        <v>4.5</v>
      </c>
      <c r="L51" t="s">
        <v>227</v>
      </c>
      <c r="M51">
        <v>2.2000000000000002</v>
      </c>
    </row>
    <row r="52" spans="1:16" x14ac:dyDescent="0.25">
      <c r="A52" t="s">
        <v>33</v>
      </c>
      <c r="B52">
        <v>988</v>
      </c>
      <c r="C52">
        <v>1580</v>
      </c>
      <c r="D52" s="1">
        <v>0.37</v>
      </c>
      <c r="E52">
        <v>2</v>
      </c>
      <c r="F52">
        <v>4</v>
      </c>
      <c r="G52">
        <f t="shared" si="4"/>
        <v>4</v>
      </c>
      <c r="H52">
        <f t="shared" si="5"/>
        <v>2</v>
      </c>
      <c r="I52">
        <f t="shared" si="6"/>
        <v>988</v>
      </c>
      <c r="J52">
        <f t="shared" si="7"/>
        <v>4</v>
      </c>
      <c r="L52" t="s">
        <v>206</v>
      </c>
      <c r="M52">
        <v>2.2000000000000002</v>
      </c>
    </row>
    <row r="53" spans="1:16" x14ac:dyDescent="0.25">
      <c r="A53" t="s">
        <v>318</v>
      </c>
      <c r="B53">
        <v>450</v>
      </c>
      <c r="C53">
        <v>900</v>
      </c>
      <c r="D53" s="1">
        <v>0.5</v>
      </c>
      <c r="E53">
        <v>1</v>
      </c>
      <c r="F53">
        <v>2</v>
      </c>
      <c r="G53">
        <f t="shared" si="4"/>
        <v>2</v>
      </c>
      <c r="H53">
        <f t="shared" si="5"/>
        <v>1</v>
      </c>
      <c r="I53">
        <f t="shared" si="6"/>
        <v>450</v>
      </c>
      <c r="J53">
        <f t="shared" si="7"/>
        <v>2</v>
      </c>
    </row>
    <row r="54" spans="1:16" x14ac:dyDescent="0.25">
      <c r="A54" t="s">
        <v>253</v>
      </c>
      <c r="B54">
        <v>330</v>
      </c>
      <c r="C54">
        <v>647</v>
      </c>
      <c r="D54" s="1">
        <v>0.49</v>
      </c>
      <c r="E54">
        <v>1</v>
      </c>
      <c r="F54">
        <v>4</v>
      </c>
      <c r="G54">
        <f t="shared" si="4"/>
        <v>4</v>
      </c>
      <c r="H54">
        <f t="shared" si="5"/>
        <v>1</v>
      </c>
      <c r="I54">
        <f t="shared" si="6"/>
        <v>330</v>
      </c>
      <c r="J54">
        <f t="shared" si="7"/>
        <v>4</v>
      </c>
      <c r="L54" s="10" t="s">
        <v>472</v>
      </c>
    </row>
    <row r="55" spans="1:16" x14ac:dyDescent="0.25">
      <c r="A55" t="s">
        <v>245</v>
      </c>
      <c r="B55">
        <v>979</v>
      </c>
      <c r="C55">
        <v>1920</v>
      </c>
      <c r="D55" s="1">
        <v>0.49</v>
      </c>
      <c r="E55">
        <v>1</v>
      </c>
      <c r="F55">
        <v>5</v>
      </c>
      <c r="G55">
        <f t="shared" si="4"/>
        <v>5</v>
      </c>
      <c r="H55">
        <f t="shared" si="5"/>
        <v>1</v>
      </c>
      <c r="I55">
        <f t="shared" si="6"/>
        <v>979</v>
      </c>
      <c r="J55">
        <f t="shared" si="7"/>
        <v>5</v>
      </c>
      <c r="L55" s="10" t="s">
        <v>0</v>
      </c>
      <c r="M55" s="10" t="s">
        <v>3</v>
      </c>
      <c r="N55" s="10" t="s">
        <v>351</v>
      </c>
      <c r="O55" s="10" t="s">
        <v>407</v>
      </c>
      <c r="P55" s="10" t="s">
        <v>408</v>
      </c>
    </row>
    <row r="56" spans="1:16" x14ac:dyDescent="0.25">
      <c r="A56" t="s">
        <v>243</v>
      </c>
      <c r="B56">
        <v>1189</v>
      </c>
      <c r="C56">
        <v>2199</v>
      </c>
      <c r="D56" s="1">
        <v>0.46</v>
      </c>
      <c r="E56">
        <v>1</v>
      </c>
      <c r="F56">
        <v>3</v>
      </c>
      <c r="G56">
        <f t="shared" si="4"/>
        <v>3</v>
      </c>
      <c r="H56">
        <f t="shared" si="5"/>
        <v>1</v>
      </c>
      <c r="I56">
        <f t="shared" si="6"/>
        <v>1189</v>
      </c>
      <c r="J56">
        <f t="shared" si="7"/>
        <v>3</v>
      </c>
      <c r="L56" t="s">
        <v>194</v>
      </c>
      <c r="M56" s="1">
        <v>0.49</v>
      </c>
      <c r="N56">
        <v>2.8</v>
      </c>
      <c r="O56" t="s">
        <v>486</v>
      </c>
      <c r="P56" t="s">
        <v>426</v>
      </c>
    </row>
    <row r="57" spans="1:16" x14ac:dyDescent="0.25">
      <c r="A57" t="s">
        <v>117</v>
      </c>
      <c r="B57">
        <v>1620</v>
      </c>
      <c r="C57">
        <v>2690</v>
      </c>
      <c r="D57" s="1">
        <v>0.4</v>
      </c>
      <c r="E57">
        <v>1</v>
      </c>
      <c r="F57">
        <v>5</v>
      </c>
      <c r="G57">
        <f t="shared" si="4"/>
        <v>5</v>
      </c>
      <c r="H57">
        <f t="shared" si="5"/>
        <v>1</v>
      </c>
      <c r="I57">
        <f t="shared" si="6"/>
        <v>1620</v>
      </c>
      <c r="J57">
        <f t="shared" si="7"/>
        <v>5</v>
      </c>
      <c r="L57" t="s">
        <v>215</v>
      </c>
      <c r="M57" s="1">
        <v>0.45</v>
      </c>
      <c r="N57">
        <v>2.6</v>
      </c>
      <c r="O57" t="s">
        <v>486</v>
      </c>
      <c r="P57" t="s">
        <v>426</v>
      </c>
    </row>
    <row r="58" spans="1:16" x14ac:dyDescent="0.25">
      <c r="A58" t="s">
        <v>295</v>
      </c>
      <c r="B58">
        <v>3640</v>
      </c>
      <c r="C58">
        <v>4588</v>
      </c>
      <c r="D58" s="1">
        <v>0.21</v>
      </c>
      <c r="E58">
        <v>1</v>
      </c>
      <c r="F58">
        <v>5</v>
      </c>
      <c r="G58">
        <f t="shared" si="4"/>
        <v>5</v>
      </c>
      <c r="H58">
        <f t="shared" si="5"/>
        <v>1</v>
      </c>
      <c r="I58">
        <f t="shared" si="6"/>
        <v>3640</v>
      </c>
      <c r="J58">
        <f t="shared" si="7"/>
        <v>5</v>
      </c>
      <c r="L58" t="s">
        <v>198</v>
      </c>
      <c r="M58" s="1">
        <v>0.52</v>
      </c>
      <c r="N58">
        <v>2.7</v>
      </c>
      <c r="O58" t="s">
        <v>486</v>
      </c>
      <c r="P58" t="s">
        <v>426</v>
      </c>
    </row>
    <row r="59" spans="1:16" x14ac:dyDescent="0.25">
      <c r="A59" t="s">
        <v>316</v>
      </c>
      <c r="B59">
        <v>199</v>
      </c>
      <c r="C59">
        <v>553</v>
      </c>
      <c r="D59" s="1">
        <v>0.64</v>
      </c>
      <c r="E59">
        <v>0</v>
      </c>
      <c r="F59" t="s">
        <v>352</v>
      </c>
      <c r="G59" t="e">
        <f t="shared" si="4"/>
        <v>#N/A</v>
      </c>
      <c r="H59" t="e">
        <f t="shared" si="5"/>
        <v>#N/A</v>
      </c>
      <c r="I59" t="e">
        <f t="shared" si="6"/>
        <v>#N/A</v>
      </c>
      <c r="J59" t="e">
        <f t="shared" si="7"/>
        <v>#N/A</v>
      </c>
      <c r="L59" t="s">
        <v>190</v>
      </c>
      <c r="M59" s="1">
        <v>0.55000000000000004</v>
      </c>
      <c r="N59">
        <v>2.1</v>
      </c>
      <c r="O59" t="s">
        <v>486</v>
      </c>
      <c r="P59" t="s">
        <v>426</v>
      </c>
    </row>
    <row r="60" spans="1:16" x14ac:dyDescent="0.25">
      <c r="A60" t="s">
        <v>154</v>
      </c>
      <c r="B60">
        <v>199</v>
      </c>
      <c r="C60">
        <v>504</v>
      </c>
      <c r="D60" s="1">
        <v>0.61</v>
      </c>
      <c r="E60">
        <v>0</v>
      </c>
      <c r="F60" t="s">
        <v>352</v>
      </c>
      <c r="G60" t="e">
        <f t="shared" si="4"/>
        <v>#N/A</v>
      </c>
      <c r="H60" t="e">
        <f t="shared" si="5"/>
        <v>#N/A</v>
      </c>
      <c r="I60" t="e">
        <f t="shared" si="6"/>
        <v>#N/A</v>
      </c>
      <c r="J60" t="e">
        <f t="shared" si="7"/>
        <v>#N/A</v>
      </c>
      <c r="L60" t="s">
        <v>209</v>
      </c>
      <c r="M60" s="1">
        <v>0.5</v>
      </c>
      <c r="N60">
        <v>2.2999999999999998</v>
      </c>
      <c r="O60" t="s">
        <v>486</v>
      </c>
      <c r="P60" t="s">
        <v>426</v>
      </c>
    </row>
    <row r="61" spans="1:16" x14ac:dyDescent="0.25">
      <c r="A61" t="s">
        <v>170</v>
      </c>
      <c r="B61">
        <v>399</v>
      </c>
      <c r="C61">
        <v>896</v>
      </c>
      <c r="D61" s="1">
        <v>0.55000000000000004</v>
      </c>
      <c r="E61">
        <v>0</v>
      </c>
      <c r="F61" t="s">
        <v>352</v>
      </c>
      <c r="G61" t="e">
        <f t="shared" si="4"/>
        <v>#N/A</v>
      </c>
      <c r="H61" t="e">
        <f t="shared" si="5"/>
        <v>#N/A</v>
      </c>
      <c r="I61" t="e">
        <f t="shared" si="6"/>
        <v>#N/A</v>
      </c>
      <c r="J61" t="e">
        <f t="shared" si="7"/>
        <v>#N/A</v>
      </c>
      <c r="L61" t="s">
        <v>229</v>
      </c>
      <c r="M61" s="1">
        <v>0.47</v>
      </c>
      <c r="N61">
        <v>2.1</v>
      </c>
      <c r="O61" t="s">
        <v>486</v>
      </c>
      <c r="P61" t="s">
        <v>426</v>
      </c>
    </row>
    <row r="62" spans="1:16" x14ac:dyDescent="0.25">
      <c r="A62" t="s">
        <v>134</v>
      </c>
      <c r="B62">
        <v>238</v>
      </c>
      <c r="C62">
        <v>476</v>
      </c>
      <c r="D62" s="1">
        <v>0.5</v>
      </c>
      <c r="E62">
        <v>0</v>
      </c>
      <c r="F62" t="s">
        <v>352</v>
      </c>
      <c r="G62" t="e">
        <f t="shared" si="4"/>
        <v>#N/A</v>
      </c>
      <c r="H62" t="e">
        <f t="shared" si="5"/>
        <v>#N/A</v>
      </c>
      <c r="I62" t="e">
        <f t="shared" si="6"/>
        <v>#N/A</v>
      </c>
      <c r="J62" t="e">
        <f t="shared" si="7"/>
        <v>#N/A</v>
      </c>
      <c r="L62" t="s">
        <v>206</v>
      </c>
      <c r="M62" s="1">
        <v>0.45</v>
      </c>
      <c r="N62">
        <v>2.2000000000000002</v>
      </c>
      <c r="O62" t="s">
        <v>486</v>
      </c>
      <c r="P62" t="s">
        <v>426</v>
      </c>
    </row>
    <row r="63" spans="1:16" x14ac:dyDescent="0.25">
      <c r="A63" t="s">
        <v>143</v>
      </c>
      <c r="B63">
        <v>999</v>
      </c>
      <c r="C63">
        <v>2000</v>
      </c>
      <c r="D63" s="1">
        <v>0.5</v>
      </c>
      <c r="E63">
        <v>0</v>
      </c>
      <c r="F63" t="s">
        <v>352</v>
      </c>
      <c r="G63" t="e">
        <f t="shared" si="4"/>
        <v>#N/A</v>
      </c>
      <c r="H63" t="e">
        <f t="shared" si="5"/>
        <v>#N/A</v>
      </c>
      <c r="I63" t="e">
        <f t="shared" si="6"/>
        <v>#N/A</v>
      </c>
      <c r="J63" t="e">
        <f t="shared" si="7"/>
        <v>#N/A</v>
      </c>
      <c r="L63" t="s">
        <v>221</v>
      </c>
      <c r="M63" s="1">
        <v>0.43</v>
      </c>
      <c r="N63">
        <v>2.2999999999999998</v>
      </c>
      <c r="O63" t="s">
        <v>486</v>
      </c>
      <c r="P63" t="s">
        <v>426</v>
      </c>
    </row>
    <row r="64" spans="1:16" x14ac:dyDescent="0.25">
      <c r="A64" t="s">
        <v>157</v>
      </c>
      <c r="B64">
        <v>299</v>
      </c>
      <c r="C64">
        <v>600</v>
      </c>
      <c r="D64" s="1">
        <v>0.5</v>
      </c>
      <c r="E64">
        <v>0</v>
      </c>
      <c r="F64" t="s">
        <v>352</v>
      </c>
      <c r="G64" t="e">
        <f t="shared" si="4"/>
        <v>#N/A</v>
      </c>
      <c r="H64" t="e">
        <f t="shared" si="5"/>
        <v>#N/A</v>
      </c>
      <c r="I64" t="e">
        <f t="shared" si="6"/>
        <v>#N/A</v>
      </c>
      <c r="J64" t="e">
        <f t="shared" si="7"/>
        <v>#N/A</v>
      </c>
      <c r="L64" t="s">
        <v>227</v>
      </c>
      <c r="M64" s="1">
        <v>0.47</v>
      </c>
      <c r="N64">
        <v>2.2000000000000002</v>
      </c>
      <c r="O64" t="s">
        <v>486</v>
      </c>
      <c r="P64" t="s">
        <v>426</v>
      </c>
    </row>
    <row r="65" spans="1:16" x14ac:dyDescent="0.25">
      <c r="A65" t="s">
        <v>269</v>
      </c>
      <c r="B65">
        <v>850</v>
      </c>
      <c r="C65">
        <v>1700</v>
      </c>
      <c r="D65" s="1">
        <v>0.5</v>
      </c>
      <c r="E65">
        <v>0</v>
      </c>
      <c r="F65" t="s">
        <v>352</v>
      </c>
      <c r="G65" t="e">
        <f t="shared" si="4"/>
        <v>#N/A</v>
      </c>
      <c r="H65" t="e">
        <f t="shared" si="5"/>
        <v>#N/A</v>
      </c>
      <c r="I65" t="e">
        <f t="shared" si="6"/>
        <v>#N/A</v>
      </c>
      <c r="J65" t="e">
        <f t="shared" si="7"/>
        <v>#N/A</v>
      </c>
      <c r="L65" t="s">
        <v>318</v>
      </c>
      <c r="M65" s="1">
        <v>0.5</v>
      </c>
      <c r="N65">
        <v>2</v>
      </c>
      <c r="O65" t="s">
        <v>486</v>
      </c>
      <c r="P65" t="s">
        <v>426</v>
      </c>
    </row>
    <row r="66" spans="1:16" x14ac:dyDescent="0.25">
      <c r="A66" t="s">
        <v>278</v>
      </c>
      <c r="B66">
        <v>1200</v>
      </c>
      <c r="C66">
        <v>2400</v>
      </c>
      <c r="D66" s="1">
        <v>0.5</v>
      </c>
      <c r="E66">
        <v>0</v>
      </c>
      <c r="F66" t="s">
        <v>352</v>
      </c>
      <c r="G66" t="e">
        <f t="shared" ref="G66:G97" si="8">IF(F66="",NA(),F66)</f>
        <v>#N/A</v>
      </c>
      <c r="H66" t="e">
        <f t="shared" ref="H66:H97" si="9">IF(F66="",NA(),E66)</f>
        <v>#N/A</v>
      </c>
      <c r="I66" t="e">
        <f t="shared" ref="I66:I97" si="10">IF(F66="",NA(),B66)</f>
        <v>#N/A</v>
      </c>
      <c r="J66" t="e">
        <f t="shared" ref="J66:J97" si="11">IF(F66="",NA(),F66)</f>
        <v>#N/A</v>
      </c>
    </row>
    <row r="67" spans="1:16" x14ac:dyDescent="0.25">
      <c r="A67" t="s">
        <v>131</v>
      </c>
      <c r="B67">
        <v>475</v>
      </c>
      <c r="C67">
        <v>931</v>
      </c>
      <c r="D67" s="1">
        <v>0.49</v>
      </c>
      <c r="E67">
        <v>0</v>
      </c>
      <c r="F67" t="s">
        <v>352</v>
      </c>
      <c r="G67" t="e">
        <f t="shared" si="8"/>
        <v>#N/A</v>
      </c>
      <c r="H67" t="e">
        <f t="shared" si="9"/>
        <v>#N/A</v>
      </c>
      <c r="I67" t="e">
        <f t="shared" si="10"/>
        <v>#N/A</v>
      </c>
      <c r="J67" t="e">
        <f t="shared" si="11"/>
        <v>#N/A</v>
      </c>
      <c r="L67" s="10" t="s">
        <v>473</v>
      </c>
    </row>
    <row r="68" spans="1:16" x14ac:dyDescent="0.25">
      <c r="A68" t="s">
        <v>148</v>
      </c>
      <c r="B68">
        <v>671</v>
      </c>
      <c r="C68">
        <v>1316</v>
      </c>
      <c r="D68" s="1">
        <v>0.49</v>
      </c>
      <c r="E68">
        <v>0</v>
      </c>
      <c r="F68" t="s">
        <v>352</v>
      </c>
      <c r="G68" t="e">
        <f t="shared" si="8"/>
        <v>#N/A</v>
      </c>
      <c r="H68" t="e">
        <f t="shared" si="9"/>
        <v>#N/A</v>
      </c>
      <c r="I68" t="e">
        <f t="shared" si="10"/>
        <v>#N/A</v>
      </c>
      <c r="J68" t="e">
        <f t="shared" si="11"/>
        <v>#N/A</v>
      </c>
      <c r="L68" s="10" t="s">
        <v>0</v>
      </c>
      <c r="M68" s="10" t="s">
        <v>3</v>
      </c>
      <c r="N68" s="10" t="s">
        <v>4</v>
      </c>
    </row>
    <row r="69" spans="1:16" x14ac:dyDescent="0.25">
      <c r="A69" t="s">
        <v>175</v>
      </c>
      <c r="B69">
        <v>799</v>
      </c>
      <c r="C69">
        <v>1567</v>
      </c>
      <c r="D69" s="1">
        <v>0.49</v>
      </c>
      <c r="E69">
        <v>0</v>
      </c>
      <c r="F69" t="s">
        <v>352</v>
      </c>
      <c r="G69" t="e">
        <f t="shared" si="8"/>
        <v>#N/A</v>
      </c>
      <c r="H69" t="e">
        <f t="shared" si="9"/>
        <v>#N/A</v>
      </c>
      <c r="I69" t="e">
        <f t="shared" si="10"/>
        <v>#N/A</v>
      </c>
      <c r="J69" t="e">
        <f t="shared" si="11"/>
        <v>#N/A</v>
      </c>
      <c r="L69" t="s">
        <v>316</v>
      </c>
      <c r="M69" s="1">
        <v>0.64</v>
      </c>
      <c r="N69">
        <v>0</v>
      </c>
    </row>
    <row r="70" spans="1:16" x14ac:dyDescent="0.25">
      <c r="A70" t="s">
        <v>240</v>
      </c>
      <c r="B70">
        <v>230</v>
      </c>
      <c r="C70">
        <v>450</v>
      </c>
      <c r="D70" s="1">
        <v>0.49</v>
      </c>
      <c r="E70">
        <v>0</v>
      </c>
      <c r="F70" t="s">
        <v>352</v>
      </c>
      <c r="G70" t="e">
        <f t="shared" si="8"/>
        <v>#N/A</v>
      </c>
      <c r="H70" t="e">
        <f t="shared" si="9"/>
        <v>#N/A</v>
      </c>
      <c r="I70" t="e">
        <f t="shared" si="10"/>
        <v>#N/A</v>
      </c>
      <c r="J70" t="e">
        <f t="shared" si="11"/>
        <v>#N/A</v>
      </c>
      <c r="L70" t="s">
        <v>154</v>
      </c>
      <c r="M70" s="1">
        <v>0.61</v>
      </c>
      <c r="N70">
        <v>0</v>
      </c>
    </row>
    <row r="71" spans="1:16" x14ac:dyDescent="0.25">
      <c r="A71" t="s">
        <v>154</v>
      </c>
      <c r="B71">
        <v>176</v>
      </c>
      <c r="C71">
        <v>345</v>
      </c>
      <c r="D71" s="1">
        <v>0.49</v>
      </c>
      <c r="E71">
        <v>0</v>
      </c>
      <c r="F71" t="s">
        <v>352</v>
      </c>
      <c r="G71" t="e">
        <f t="shared" si="8"/>
        <v>#N/A</v>
      </c>
      <c r="H71" t="e">
        <f t="shared" si="9"/>
        <v>#N/A</v>
      </c>
      <c r="I71" t="e">
        <f t="shared" si="10"/>
        <v>#N/A</v>
      </c>
      <c r="J71" t="e">
        <f t="shared" si="11"/>
        <v>#N/A</v>
      </c>
      <c r="L71" t="s">
        <v>170</v>
      </c>
      <c r="M71" s="1">
        <v>0.55000000000000004</v>
      </c>
      <c r="N71">
        <v>0</v>
      </c>
    </row>
    <row r="72" spans="1:16" x14ac:dyDescent="0.25">
      <c r="A72" t="s">
        <v>258</v>
      </c>
      <c r="B72">
        <v>274</v>
      </c>
      <c r="C72">
        <v>537</v>
      </c>
      <c r="D72" s="1">
        <v>0.49</v>
      </c>
      <c r="E72">
        <v>0</v>
      </c>
      <c r="F72" t="s">
        <v>352</v>
      </c>
      <c r="G72" t="e">
        <f t="shared" si="8"/>
        <v>#N/A</v>
      </c>
      <c r="H72" t="e">
        <f t="shared" si="9"/>
        <v>#N/A</v>
      </c>
      <c r="I72" t="e">
        <f t="shared" si="10"/>
        <v>#N/A</v>
      </c>
      <c r="J72" t="e">
        <f t="shared" si="11"/>
        <v>#N/A</v>
      </c>
      <c r="L72" t="s">
        <v>35</v>
      </c>
      <c r="M72" s="1">
        <v>0.55000000000000004</v>
      </c>
      <c r="N72">
        <v>5</v>
      </c>
    </row>
    <row r="73" spans="1:16" x14ac:dyDescent="0.25">
      <c r="A73" t="s">
        <v>175</v>
      </c>
      <c r="B73">
        <v>657</v>
      </c>
      <c r="C73">
        <v>1288</v>
      </c>
      <c r="D73" s="1">
        <v>0.49</v>
      </c>
      <c r="E73">
        <v>0</v>
      </c>
      <c r="F73" t="s">
        <v>352</v>
      </c>
      <c r="G73" t="e">
        <f t="shared" si="8"/>
        <v>#N/A</v>
      </c>
      <c r="H73" t="e">
        <f t="shared" si="9"/>
        <v>#N/A</v>
      </c>
      <c r="I73" t="e">
        <f t="shared" si="10"/>
        <v>#N/A</v>
      </c>
      <c r="J73" t="e">
        <f t="shared" si="11"/>
        <v>#N/A</v>
      </c>
      <c r="L73" t="s">
        <v>190</v>
      </c>
      <c r="M73" s="1">
        <v>0.55000000000000004</v>
      </c>
      <c r="N73">
        <v>13</v>
      </c>
    </row>
    <row r="74" spans="1:16" x14ac:dyDescent="0.25">
      <c r="A74" t="s">
        <v>284</v>
      </c>
      <c r="B74">
        <v>248</v>
      </c>
      <c r="C74">
        <v>486</v>
      </c>
      <c r="D74" s="1">
        <v>0.49</v>
      </c>
      <c r="E74">
        <v>0</v>
      </c>
      <c r="F74" t="s">
        <v>352</v>
      </c>
      <c r="G74" t="e">
        <f t="shared" si="8"/>
        <v>#N/A</v>
      </c>
      <c r="H74" t="e">
        <f t="shared" si="9"/>
        <v>#N/A</v>
      </c>
      <c r="I74" t="e">
        <f t="shared" si="10"/>
        <v>#N/A</v>
      </c>
      <c r="J74" t="e">
        <f t="shared" si="11"/>
        <v>#N/A</v>
      </c>
      <c r="L74" t="s">
        <v>85</v>
      </c>
      <c r="M74" s="1">
        <v>0.54</v>
      </c>
      <c r="N74">
        <v>7</v>
      </c>
    </row>
    <row r="75" spans="1:16" x14ac:dyDescent="0.25">
      <c r="A75" t="s">
        <v>289</v>
      </c>
      <c r="B75">
        <v>525</v>
      </c>
      <c r="C75">
        <v>1029</v>
      </c>
      <c r="D75" s="1">
        <v>0.49</v>
      </c>
      <c r="E75">
        <v>0</v>
      </c>
      <c r="F75" t="s">
        <v>352</v>
      </c>
      <c r="G75" t="e">
        <f t="shared" si="8"/>
        <v>#N/A</v>
      </c>
      <c r="H75" t="e">
        <f t="shared" si="9"/>
        <v>#N/A</v>
      </c>
      <c r="I75" t="e">
        <f t="shared" si="10"/>
        <v>#N/A</v>
      </c>
      <c r="J75" t="e">
        <f t="shared" si="11"/>
        <v>#N/A</v>
      </c>
      <c r="L75" t="s">
        <v>186</v>
      </c>
      <c r="M75" s="1">
        <v>0.54</v>
      </c>
      <c r="N75">
        <v>10</v>
      </c>
    </row>
    <row r="76" spans="1:16" x14ac:dyDescent="0.25">
      <c r="A76" t="s">
        <v>173</v>
      </c>
      <c r="B76">
        <v>699</v>
      </c>
      <c r="C76">
        <v>1343</v>
      </c>
      <c r="D76" s="1">
        <v>0.48</v>
      </c>
      <c r="E76">
        <v>0</v>
      </c>
      <c r="F76" t="s">
        <v>352</v>
      </c>
      <c r="G76" t="e">
        <f t="shared" si="8"/>
        <v>#N/A</v>
      </c>
      <c r="H76" t="e">
        <f t="shared" si="9"/>
        <v>#N/A</v>
      </c>
      <c r="I76" t="e">
        <f t="shared" si="10"/>
        <v>#N/A</v>
      </c>
      <c r="J76" t="e">
        <f t="shared" si="11"/>
        <v>#N/A</v>
      </c>
      <c r="L76" t="s">
        <v>120</v>
      </c>
      <c r="M76" s="1">
        <v>0.53</v>
      </c>
      <c r="N76">
        <v>2</v>
      </c>
    </row>
    <row r="77" spans="1:16" x14ac:dyDescent="0.25">
      <c r="A77" t="s">
        <v>272</v>
      </c>
      <c r="B77">
        <v>1300</v>
      </c>
      <c r="C77">
        <v>2500</v>
      </c>
      <c r="D77" s="1">
        <v>0.48</v>
      </c>
      <c r="E77">
        <v>0</v>
      </c>
      <c r="F77" t="s">
        <v>352</v>
      </c>
      <c r="G77" t="e">
        <f t="shared" si="8"/>
        <v>#N/A</v>
      </c>
      <c r="H77" t="e">
        <f t="shared" si="9"/>
        <v>#N/A</v>
      </c>
      <c r="I77" t="e">
        <f t="shared" si="10"/>
        <v>#N/A</v>
      </c>
      <c r="J77" t="e">
        <f t="shared" si="11"/>
        <v>#N/A</v>
      </c>
      <c r="L77" t="s">
        <v>71</v>
      </c>
      <c r="M77" s="1">
        <v>0.53</v>
      </c>
      <c r="N77">
        <v>13</v>
      </c>
    </row>
    <row r="78" spans="1:16" x14ac:dyDescent="0.25">
      <c r="A78" t="s">
        <v>274</v>
      </c>
      <c r="B78">
        <v>105</v>
      </c>
      <c r="C78">
        <v>200</v>
      </c>
      <c r="D78" s="1">
        <v>0.48</v>
      </c>
      <c r="E78">
        <v>0</v>
      </c>
      <c r="F78" t="s">
        <v>352</v>
      </c>
      <c r="G78" t="e">
        <f t="shared" si="8"/>
        <v>#N/A</v>
      </c>
      <c r="H78" t="e">
        <f t="shared" si="9"/>
        <v>#N/A</v>
      </c>
      <c r="I78" t="e">
        <f t="shared" si="10"/>
        <v>#N/A</v>
      </c>
      <c r="J78" t="e">
        <f t="shared" si="11"/>
        <v>#N/A</v>
      </c>
      <c r="L78" t="s">
        <v>102</v>
      </c>
      <c r="M78" s="1">
        <v>0.52</v>
      </c>
      <c r="N78">
        <v>9</v>
      </c>
    </row>
    <row r="79" spans="1:16" x14ac:dyDescent="0.25">
      <c r="A79" t="s">
        <v>232</v>
      </c>
      <c r="B79">
        <v>790</v>
      </c>
      <c r="C79">
        <v>1485</v>
      </c>
      <c r="D79" s="1">
        <v>0.47</v>
      </c>
      <c r="E79">
        <v>0</v>
      </c>
      <c r="F79" t="s">
        <v>352</v>
      </c>
      <c r="G79" t="e">
        <f t="shared" si="8"/>
        <v>#N/A</v>
      </c>
      <c r="H79" t="e">
        <f t="shared" si="9"/>
        <v>#N/A</v>
      </c>
      <c r="I79" t="e">
        <f t="shared" si="10"/>
        <v>#N/A</v>
      </c>
      <c r="J79" t="e">
        <f t="shared" si="11"/>
        <v>#N/A</v>
      </c>
    </row>
    <row r="80" spans="1:16" x14ac:dyDescent="0.25">
      <c r="A80" t="s">
        <v>277</v>
      </c>
      <c r="B80">
        <v>899</v>
      </c>
      <c r="C80">
        <v>1699</v>
      </c>
      <c r="D80" s="1">
        <v>0.47</v>
      </c>
      <c r="E80">
        <v>0</v>
      </c>
      <c r="F80" t="s">
        <v>352</v>
      </c>
      <c r="G80" t="e">
        <f t="shared" si="8"/>
        <v>#N/A</v>
      </c>
      <c r="H80" t="e">
        <f t="shared" si="9"/>
        <v>#N/A</v>
      </c>
      <c r="I80" t="e">
        <f t="shared" si="10"/>
        <v>#N/A</v>
      </c>
      <c r="J80" t="e">
        <f t="shared" si="11"/>
        <v>#N/A</v>
      </c>
      <c r="L80" s="10" t="s">
        <v>474</v>
      </c>
    </row>
    <row r="81" spans="1:15" x14ac:dyDescent="0.25">
      <c r="A81" t="s">
        <v>320</v>
      </c>
      <c r="B81">
        <v>169</v>
      </c>
      <c r="C81">
        <v>320</v>
      </c>
      <c r="D81" s="1">
        <v>0.47</v>
      </c>
      <c r="E81">
        <v>0</v>
      </c>
      <c r="F81" t="s">
        <v>352</v>
      </c>
      <c r="G81" t="e">
        <f t="shared" si="8"/>
        <v>#N/A</v>
      </c>
      <c r="H81" t="e">
        <f t="shared" si="9"/>
        <v>#N/A</v>
      </c>
      <c r="I81" t="e">
        <f t="shared" si="10"/>
        <v>#N/A</v>
      </c>
      <c r="J81" t="e">
        <f t="shared" si="11"/>
        <v>#N/A</v>
      </c>
      <c r="L81" s="10" t="s">
        <v>0</v>
      </c>
      <c r="M81" s="10" t="s">
        <v>1</v>
      </c>
      <c r="N81" s="10" t="s">
        <v>3</v>
      </c>
      <c r="O81" s="10" t="s">
        <v>4</v>
      </c>
    </row>
    <row r="82" spans="1:15" x14ac:dyDescent="0.25">
      <c r="A82" t="s">
        <v>99</v>
      </c>
      <c r="B82">
        <v>2200</v>
      </c>
      <c r="C82">
        <v>4080</v>
      </c>
      <c r="D82" s="1">
        <v>0.46</v>
      </c>
      <c r="E82">
        <v>0</v>
      </c>
      <c r="F82" t="s">
        <v>352</v>
      </c>
      <c r="G82" t="e">
        <f t="shared" si="8"/>
        <v>#N/A</v>
      </c>
      <c r="H82" t="e">
        <f t="shared" si="9"/>
        <v>#N/A</v>
      </c>
      <c r="I82" t="e">
        <f t="shared" si="10"/>
        <v>#N/A</v>
      </c>
      <c r="J82" t="e">
        <f t="shared" si="11"/>
        <v>#N/A</v>
      </c>
      <c r="L82" t="s">
        <v>194</v>
      </c>
      <c r="M82">
        <v>445</v>
      </c>
      <c r="N82" s="1">
        <v>0.49</v>
      </c>
      <c r="O82">
        <v>69</v>
      </c>
    </row>
    <row r="83" spans="1:15" x14ac:dyDescent="0.25">
      <c r="A83" t="s">
        <v>170</v>
      </c>
      <c r="B83">
        <v>499</v>
      </c>
      <c r="C83">
        <v>900</v>
      </c>
      <c r="D83" s="1">
        <v>0.45</v>
      </c>
      <c r="E83">
        <v>0</v>
      </c>
      <c r="F83" t="s">
        <v>352</v>
      </c>
      <c r="G83" t="e">
        <f t="shared" si="8"/>
        <v>#N/A</v>
      </c>
      <c r="H83" t="e">
        <f t="shared" si="9"/>
        <v>#N/A</v>
      </c>
      <c r="I83" t="e">
        <f t="shared" si="10"/>
        <v>#N/A</v>
      </c>
      <c r="J83" t="e">
        <f t="shared" si="11"/>
        <v>#N/A</v>
      </c>
      <c r="L83" t="s">
        <v>30</v>
      </c>
      <c r="M83">
        <v>2319</v>
      </c>
      <c r="N83" s="1">
        <v>0.24</v>
      </c>
      <c r="O83">
        <v>55</v>
      </c>
    </row>
    <row r="84" spans="1:15" x14ac:dyDescent="0.25">
      <c r="A84" t="s">
        <v>235</v>
      </c>
      <c r="B84">
        <v>690</v>
      </c>
      <c r="C84">
        <v>1200</v>
      </c>
      <c r="D84" s="1">
        <v>0.43</v>
      </c>
      <c r="E84">
        <v>0</v>
      </c>
      <c r="F84" t="s">
        <v>352</v>
      </c>
      <c r="G84" t="e">
        <f t="shared" si="8"/>
        <v>#N/A</v>
      </c>
      <c r="H84" t="e">
        <f t="shared" si="9"/>
        <v>#N/A</v>
      </c>
      <c r="I84" t="e">
        <f t="shared" si="10"/>
        <v>#N/A</v>
      </c>
      <c r="J84" t="e">
        <f t="shared" si="11"/>
        <v>#N/A</v>
      </c>
      <c r="L84" t="s">
        <v>89</v>
      </c>
      <c r="M84">
        <v>420</v>
      </c>
      <c r="N84" s="1">
        <v>0.35</v>
      </c>
      <c r="O84">
        <v>49</v>
      </c>
    </row>
    <row r="85" spans="1:15" x14ac:dyDescent="0.25">
      <c r="A85" t="s">
        <v>266</v>
      </c>
      <c r="B85">
        <v>630</v>
      </c>
      <c r="C85">
        <v>1100</v>
      </c>
      <c r="D85" s="1">
        <v>0.43</v>
      </c>
      <c r="E85">
        <v>0</v>
      </c>
      <c r="F85" t="s">
        <v>352</v>
      </c>
      <c r="G85" t="e">
        <f t="shared" si="8"/>
        <v>#N/A</v>
      </c>
      <c r="H85" t="e">
        <f t="shared" si="9"/>
        <v>#N/A</v>
      </c>
      <c r="I85" t="e">
        <f t="shared" si="10"/>
        <v>#N/A</v>
      </c>
      <c r="J85" t="e">
        <f t="shared" si="11"/>
        <v>#N/A</v>
      </c>
      <c r="L85" t="s">
        <v>68</v>
      </c>
      <c r="M85">
        <v>998</v>
      </c>
      <c r="N85" s="1">
        <v>0.49</v>
      </c>
      <c r="O85">
        <v>44</v>
      </c>
    </row>
    <row r="86" spans="1:15" x14ac:dyDescent="0.25">
      <c r="A86" t="s">
        <v>75</v>
      </c>
      <c r="B86">
        <v>1860</v>
      </c>
      <c r="C86">
        <v>3220</v>
      </c>
      <c r="D86" s="1">
        <v>0.42</v>
      </c>
      <c r="E86">
        <v>0</v>
      </c>
      <c r="F86" t="s">
        <v>352</v>
      </c>
      <c r="G86" t="e">
        <f t="shared" si="8"/>
        <v>#N/A</v>
      </c>
      <c r="H86" t="e">
        <f t="shared" si="9"/>
        <v>#N/A</v>
      </c>
      <c r="I86" t="e">
        <f t="shared" si="10"/>
        <v>#N/A</v>
      </c>
      <c r="J86" t="e">
        <f t="shared" si="11"/>
        <v>#N/A</v>
      </c>
      <c r="L86" t="s">
        <v>44</v>
      </c>
      <c r="M86">
        <v>990</v>
      </c>
      <c r="N86" s="1">
        <v>0.34</v>
      </c>
      <c r="O86">
        <v>39</v>
      </c>
    </row>
    <row r="87" spans="1:15" x14ac:dyDescent="0.25">
      <c r="A87" t="s">
        <v>137</v>
      </c>
      <c r="B87">
        <v>610</v>
      </c>
      <c r="C87">
        <v>1060</v>
      </c>
      <c r="D87" s="1">
        <v>0.42</v>
      </c>
      <c r="E87">
        <v>0</v>
      </c>
      <c r="F87" t="s">
        <v>352</v>
      </c>
      <c r="G87" t="e">
        <f t="shared" si="8"/>
        <v>#N/A</v>
      </c>
      <c r="H87" t="e">
        <f t="shared" si="9"/>
        <v>#N/A</v>
      </c>
      <c r="I87" t="e">
        <f t="shared" si="10"/>
        <v>#N/A</v>
      </c>
      <c r="J87" t="e">
        <f t="shared" si="11"/>
        <v>#N/A</v>
      </c>
      <c r="L87" t="s">
        <v>122</v>
      </c>
      <c r="M87">
        <v>389</v>
      </c>
      <c r="N87" s="1">
        <v>0.41</v>
      </c>
      <c r="O87">
        <v>36</v>
      </c>
    </row>
    <row r="88" spans="1:15" x14ac:dyDescent="0.25">
      <c r="A88" t="s">
        <v>292</v>
      </c>
      <c r="B88">
        <v>1080</v>
      </c>
      <c r="C88">
        <v>1874</v>
      </c>
      <c r="D88" s="1">
        <v>0.42</v>
      </c>
      <c r="E88">
        <v>0</v>
      </c>
      <c r="F88" t="s">
        <v>352</v>
      </c>
      <c r="G88" t="e">
        <f t="shared" si="8"/>
        <v>#N/A</v>
      </c>
      <c r="H88" t="e">
        <f t="shared" si="9"/>
        <v>#N/A</v>
      </c>
      <c r="I88" t="e">
        <f t="shared" si="10"/>
        <v>#N/A</v>
      </c>
      <c r="J88" t="e">
        <f t="shared" si="11"/>
        <v>#N/A</v>
      </c>
      <c r="L88" t="s">
        <v>114</v>
      </c>
      <c r="M88">
        <v>1980</v>
      </c>
      <c r="N88" s="1">
        <v>0.27</v>
      </c>
      <c r="O88">
        <v>32</v>
      </c>
    </row>
    <row r="89" spans="1:15" x14ac:dyDescent="0.25">
      <c r="A89" t="s">
        <v>168</v>
      </c>
      <c r="B89">
        <v>799</v>
      </c>
      <c r="C89">
        <v>1343</v>
      </c>
      <c r="D89" s="1">
        <v>0.41</v>
      </c>
      <c r="E89">
        <v>0</v>
      </c>
      <c r="F89" t="s">
        <v>352</v>
      </c>
      <c r="G89" t="e">
        <f t="shared" si="8"/>
        <v>#N/A</v>
      </c>
      <c r="H89" t="e">
        <f t="shared" si="9"/>
        <v>#N/A</v>
      </c>
      <c r="I89" t="e">
        <f t="shared" si="10"/>
        <v>#N/A</v>
      </c>
      <c r="J89" t="e">
        <f t="shared" si="11"/>
        <v>#N/A</v>
      </c>
      <c r="L89" t="s">
        <v>14</v>
      </c>
      <c r="M89">
        <v>2199</v>
      </c>
      <c r="N89" s="1">
        <v>0.25</v>
      </c>
      <c r="O89">
        <v>24</v>
      </c>
    </row>
    <row r="90" spans="1:15" x14ac:dyDescent="0.25">
      <c r="A90" t="s">
        <v>298</v>
      </c>
      <c r="B90">
        <v>1420</v>
      </c>
      <c r="C90">
        <v>2420</v>
      </c>
      <c r="D90" s="1">
        <v>0.41</v>
      </c>
      <c r="E90">
        <v>0</v>
      </c>
      <c r="F90" t="s">
        <v>352</v>
      </c>
      <c r="G90" t="e">
        <f t="shared" si="8"/>
        <v>#N/A</v>
      </c>
      <c r="H90" t="e">
        <f t="shared" si="9"/>
        <v>#N/A</v>
      </c>
      <c r="I90" t="e">
        <f t="shared" si="10"/>
        <v>#N/A</v>
      </c>
      <c r="J90" t="e">
        <f t="shared" si="11"/>
        <v>#N/A</v>
      </c>
      <c r="L90" t="s">
        <v>97</v>
      </c>
      <c r="M90">
        <v>1758</v>
      </c>
      <c r="N90" s="1">
        <v>0.3</v>
      </c>
      <c r="O90">
        <v>20</v>
      </c>
    </row>
    <row r="91" spans="1:15" x14ac:dyDescent="0.25">
      <c r="A91" t="s">
        <v>128</v>
      </c>
      <c r="B91">
        <v>2750</v>
      </c>
      <c r="C91">
        <v>4471</v>
      </c>
      <c r="D91" s="1">
        <v>0.38</v>
      </c>
      <c r="E91">
        <v>0</v>
      </c>
      <c r="F91" t="s">
        <v>352</v>
      </c>
      <c r="G91" t="e">
        <f t="shared" si="8"/>
        <v>#N/A</v>
      </c>
      <c r="H91" t="e">
        <f t="shared" si="9"/>
        <v>#N/A</v>
      </c>
      <c r="I91" t="e">
        <f t="shared" si="10"/>
        <v>#N/A</v>
      </c>
      <c r="J91" t="e">
        <f t="shared" si="11"/>
        <v>#N/A</v>
      </c>
      <c r="L91" t="s">
        <v>111</v>
      </c>
      <c r="M91">
        <v>1940</v>
      </c>
      <c r="N91" s="1">
        <v>0.27</v>
      </c>
      <c r="O91">
        <v>20</v>
      </c>
    </row>
    <row r="92" spans="1:15" x14ac:dyDescent="0.25">
      <c r="A92" t="s">
        <v>151</v>
      </c>
      <c r="B92">
        <v>1200</v>
      </c>
      <c r="C92">
        <v>1950</v>
      </c>
      <c r="D92" s="1">
        <v>0.38</v>
      </c>
      <c r="E92">
        <v>0</v>
      </c>
      <c r="F92" t="s">
        <v>352</v>
      </c>
      <c r="G92" t="e">
        <f t="shared" si="8"/>
        <v>#N/A</v>
      </c>
      <c r="H92" t="e">
        <f t="shared" si="9"/>
        <v>#N/A</v>
      </c>
      <c r="I92" t="e">
        <f t="shared" si="10"/>
        <v>#N/A</v>
      </c>
      <c r="J92" t="e">
        <f t="shared" si="11"/>
        <v>#N/A</v>
      </c>
      <c r="L92" t="s">
        <v>215</v>
      </c>
      <c r="M92">
        <v>382</v>
      </c>
      <c r="N92" s="1">
        <v>0.45</v>
      </c>
      <c r="O92">
        <v>17</v>
      </c>
    </row>
    <row r="93" spans="1:15" x14ac:dyDescent="0.25">
      <c r="A93" t="s">
        <v>248</v>
      </c>
      <c r="B93">
        <v>1460</v>
      </c>
      <c r="C93">
        <v>2290</v>
      </c>
      <c r="D93" s="1">
        <v>0.36</v>
      </c>
      <c r="E93">
        <v>0</v>
      </c>
      <c r="F93" t="s">
        <v>352</v>
      </c>
      <c r="G93" t="e">
        <f t="shared" si="8"/>
        <v>#N/A</v>
      </c>
      <c r="H93" t="e">
        <f t="shared" si="9"/>
        <v>#N/A</v>
      </c>
      <c r="I93" t="e">
        <f t="shared" si="10"/>
        <v>#N/A</v>
      </c>
      <c r="J93" t="e">
        <f t="shared" si="11"/>
        <v>#N/A</v>
      </c>
      <c r="L93" t="s">
        <v>202</v>
      </c>
      <c r="M93">
        <v>1220</v>
      </c>
      <c r="N93" s="1">
        <v>0.22</v>
      </c>
      <c r="O93">
        <v>16</v>
      </c>
    </row>
    <row r="94" spans="1:15" x14ac:dyDescent="0.25">
      <c r="A94" t="s">
        <v>307</v>
      </c>
      <c r="B94">
        <v>1150</v>
      </c>
      <c r="C94">
        <v>1737</v>
      </c>
      <c r="D94" s="1">
        <v>0.34</v>
      </c>
      <c r="E94">
        <v>0</v>
      </c>
      <c r="F94" t="s">
        <v>352</v>
      </c>
      <c r="G94" t="e">
        <f t="shared" si="8"/>
        <v>#N/A</v>
      </c>
      <c r="H94" t="e">
        <f t="shared" si="9"/>
        <v>#N/A</v>
      </c>
      <c r="I94" t="e">
        <f t="shared" si="10"/>
        <v>#N/A</v>
      </c>
      <c r="J94" t="e">
        <f t="shared" si="11"/>
        <v>#N/A</v>
      </c>
      <c r="L94" t="s">
        <v>198</v>
      </c>
      <c r="M94">
        <v>325</v>
      </c>
      <c r="N94" s="1">
        <v>0.52</v>
      </c>
      <c r="O94">
        <v>15</v>
      </c>
    </row>
    <row r="95" spans="1:15" x14ac:dyDescent="0.25">
      <c r="A95" t="s">
        <v>310</v>
      </c>
      <c r="B95">
        <v>1190</v>
      </c>
      <c r="C95">
        <v>1810</v>
      </c>
      <c r="D95" s="1">
        <v>0.34</v>
      </c>
      <c r="E95">
        <v>0</v>
      </c>
      <c r="F95" t="s">
        <v>352</v>
      </c>
      <c r="G95" t="e">
        <f t="shared" si="8"/>
        <v>#N/A</v>
      </c>
      <c r="H95" t="e">
        <f t="shared" si="9"/>
        <v>#N/A</v>
      </c>
      <c r="I95" t="e">
        <f t="shared" si="10"/>
        <v>#N/A</v>
      </c>
      <c r="J95" t="e">
        <f t="shared" si="11"/>
        <v>#N/A</v>
      </c>
      <c r="L95" t="s">
        <v>26</v>
      </c>
      <c r="M95">
        <v>2999</v>
      </c>
      <c r="N95" s="1">
        <v>0.09</v>
      </c>
      <c r="O95">
        <v>15</v>
      </c>
    </row>
    <row r="96" spans="1:15" x14ac:dyDescent="0.25">
      <c r="A96" t="s">
        <v>145</v>
      </c>
      <c r="B96">
        <v>1190</v>
      </c>
      <c r="C96">
        <v>1785</v>
      </c>
      <c r="D96" s="1">
        <v>0.33</v>
      </c>
      <c r="E96">
        <v>0</v>
      </c>
      <c r="F96" t="s">
        <v>352</v>
      </c>
      <c r="G96" t="e">
        <f t="shared" si="8"/>
        <v>#N/A</v>
      </c>
      <c r="H96" t="e">
        <f t="shared" si="9"/>
        <v>#N/A</v>
      </c>
      <c r="I96" t="e">
        <f t="shared" si="10"/>
        <v>#N/A</v>
      </c>
      <c r="J96" t="e">
        <f t="shared" si="11"/>
        <v>#N/A</v>
      </c>
      <c r="L96" t="s">
        <v>10</v>
      </c>
      <c r="M96">
        <v>527</v>
      </c>
      <c r="N96" s="1">
        <v>0.47</v>
      </c>
      <c r="O96">
        <v>14</v>
      </c>
    </row>
    <row r="97" spans="1:15" x14ac:dyDescent="0.25">
      <c r="A97" t="s">
        <v>177</v>
      </c>
      <c r="B97">
        <v>2799</v>
      </c>
      <c r="C97">
        <v>3810</v>
      </c>
      <c r="D97" s="1">
        <v>0.27</v>
      </c>
      <c r="E97">
        <v>0</v>
      </c>
      <c r="F97" t="s">
        <v>352</v>
      </c>
      <c r="G97" t="e">
        <f t="shared" si="8"/>
        <v>#N/A</v>
      </c>
      <c r="H97" t="e">
        <f t="shared" si="9"/>
        <v>#N/A</v>
      </c>
      <c r="I97" t="e">
        <f t="shared" si="10"/>
        <v>#N/A</v>
      </c>
      <c r="J97" t="e">
        <f t="shared" si="11"/>
        <v>#N/A</v>
      </c>
      <c r="L97" t="s">
        <v>81</v>
      </c>
      <c r="M97">
        <v>1650</v>
      </c>
      <c r="N97" s="1">
        <v>0.23</v>
      </c>
      <c r="O97">
        <v>14</v>
      </c>
    </row>
    <row r="98" spans="1:15" x14ac:dyDescent="0.25">
      <c r="A98" t="s">
        <v>304</v>
      </c>
      <c r="B98">
        <v>198</v>
      </c>
      <c r="C98">
        <v>260</v>
      </c>
      <c r="D98" s="1">
        <v>0.24</v>
      </c>
      <c r="E98">
        <v>0</v>
      </c>
      <c r="F98" t="s">
        <v>352</v>
      </c>
      <c r="G98" t="e">
        <f t="shared" ref="G98:G113" si="12">IF(F98="",NA(),F98)</f>
        <v>#N/A</v>
      </c>
      <c r="H98" t="e">
        <f t="shared" ref="H98:H113" si="13">IF(F98="",NA(),E98)</f>
        <v>#N/A</v>
      </c>
      <c r="I98" t="e">
        <f t="shared" ref="I98:I113" si="14">IF(F98="",NA(),B98)</f>
        <v>#N/A</v>
      </c>
      <c r="J98" t="e">
        <f t="shared" ref="J98:J113" si="15">IF(F98="",NA(),F98)</f>
        <v>#N/A</v>
      </c>
      <c r="L98" t="s">
        <v>190</v>
      </c>
      <c r="M98">
        <v>2115</v>
      </c>
      <c r="N98" s="1">
        <v>0.55000000000000004</v>
      </c>
      <c r="O98">
        <v>13</v>
      </c>
    </row>
    <row r="99" spans="1:15" x14ac:dyDescent="0.25">
      <c r="A99" t="s">
        <v>163</v>
      </c>
      <c r="B99">
        <v>299</v>
      </c>
      <c r="C99">
        <v>384</v>
      </c>
      <c r="D99" s="1">
        <v>0.22</v>
      </c>
      <c r="E99">
        <v>0</v>
      </c>
      <c r="F99" t="s">
        <v>352</v>
      </c>
      <c r="G99" t="e">
        <f t="shared" si="12"/>
        <v>#N/A</v>
      </c>
      <c r="H99" t="e">
        <f t="shared" si="13"/>
        <v>#N/A</v>
      </c>
      <c r="I99" t="e">
        <f t="shared" si="14"/>
        <v>#N/A</v>
      </c>
      <c r="J99" t="e">
        <f t="shared" si="15"/>
        <v>#N/A</v>
      </c>
      <c r="L99" t="s">
        <v>71</v>
      </c>
      <c r="M99">
        <v>38</v>
      </c>
      <c r="N99" s="1">
        <v>0.53</v>
      </c>
      <c r="O99">
        <v>13</v>
      </c>
    </row>
    <row r="100" spans="1:15" x14ac:dyDescent="0.25">
      <c r="A100" t="s">
        <v>256</v>
      </c>
      <c r="B100">
        <v>1466</v>
      </c>
      <c r="C100">
        <v>1699</v>
      </c>
      <c r="D100" s="1">
        <v>0.14000000000000001</v>
      </c>
      <c r="E100">
        <v>0</v>
      </c>
      <c r="F100" t="s">
        <v>352</v>
      </c>
      <c r="G100" t="e">
        <f t="shared" si="12"/>
        <v>#N/A</v>
      </c>
      <c r="H100" t="e">
        <f t="shared" si="13"/>
        <v>#N/A</v>
      </c>
      <c r="I100" t="e">
        <f t="shared" si="14"/>
        <v>#N/A</v>
      </c>
      <c r="J100" t="e">
        <f t="shared" si="15"/>
        <v>#N/A</v>
      </c>
      <c r="L100" t="s">
        <v>95</v>
      </c>
      <c r="M100">
        <v>1350</v>
      </c>
      <c r="N100" s="1">
        <v>0.32</v>
      </c>
      <c r="O100">
        <v>13</v>
      </c>
    </row>
    <row r="101" spans="1:15" x14ac:dyDescent="0.25">
      <c r="A101" t="s">
        <v>264</v>
      </c>
      <c r="B101">
        <v>1468</v>
      </c>
      <c r="C101">
        <v>1699</v>
      </c>
      <c r="D101" s="1">
        <v>0.14000000000000001</v>
      </c>
      <c r="E101">
        <v>0</v>
      </c>
      <c r="F101" t="s">
        <v>352</v>
      </c>
      <c r="G101" t="e">
        <f t="shared" si="12"/>
        <v>#N/A</v>
      </c>
      <c r="H101" t="e">
        <f t="shared" si="13"/>
        <v>#N/A</v>
      </c>
      <c r="I101" t="e">
        <f t="shared" si="14"/>
        <v>#N/A</v>
      </c>
      <c r="J101" t="e">
        <f t="shared" si="15"/>
        <v>#N/A</v>
      </c>
      <c r="L101" t="s">
        <v>47</v>
      </c>
      <c r="M101">
        <v>552</v>
      </c>
      <c r="N101" s="1">
        <v>0.47</v>
      </c>
      <c r="O101">
        <v>12</v>
      </c>
    </row>
    <row r="102" spans="1:15" x14ac:dyDescent="0.25">
      <c r="A102" t="s">
        <v>261</v>
      </c>
      <c r="B102">
        <v>799</v>
      </c>
      <c r="C102">
        <v>900</v>
      </c>
      <c r="D102" s="1">
        <v>0.11</v>
      </c>
      <c r="E102">
        <v>0</v>
      </c>
      <c r="F102" t="s">
        <v>352</v>
      </c>
      <c r="G102" t="e">
        <f t="shared" si="12"/>
        <v>#N/A</v>
      </c>
      <c r="H102" t="e">
        <f t="shared" si="13"/>
        <v>#N/A</v>
      </c>
      <c r="I102" t="e">
        <f t="shared" si="14"/>
        <v>#N/A</v>
      </c>
      <c r="J102" t="e">
        <f t="shared" si="15"/>
        <v>#N/A</v>
      </c>
      <c r="L102" t="s">
        <v>105</v>
      </c>
      <c r="M102">
        <v>980</v>
      </c>
      <c r="N102" s="1">
        <v>0.34</v>
      </c>
      <c r="O102">
        <v>12</v>
      </c>
    </row>
    <row r="103" spans="1:15" x14ac:dyDescent="0.25">
      <c r="A103" t="s">
        <v>280</v>
      </c>
      <c r="B103">
        <v>1526</v>
      </c>
      <c r="C103">
        <v>1660</v>
      </c>
      <c r="D103" s="1">
        <v>0.08</v>
      </c>
      <c r="E103">
        <v>0</v>
      </c>
      <c r="F103" t="s">
        <v>352</v>
      </c>
      <c r="G103" t="e">
        <f t="shared" si="12"/>
        <v>#N/A</v>
      </c>
      <c r="H103" t="e">
        <f t="shared" si="13"/>
        <v>#N/A</v>
      </c>
      <c r="I103" t="e">
        <f t="shared" si="14"/>
        <v>#N/A</v>
      </c>
      <c r="J103" t="e">
        <f t="shared" si="15"/>
        <v>#N/A</v>
      </c>
      <c r="L103" t="s">
        <v>42</v>
      </c>
      <c r="M103">
        <v>799</v>
      </c>
      <c r="N103" s="1">
        <v>0.2</v>
      </c>
      <c r="O103">
        <v>12</v>
      </c>
    </row>
    <row r="104" spans="1:15" x14ac:dyDescent="0.25">
      <c r="A104" t="s">
        <v>237</v>
      </c>
      <c r="B104">
        <v>1732</v>
      </c>
      <c r="C104">
        <v>1799</v>
      </c>
      <c r="D104" s="1">
        <v>0.04</v>
      </c>
      <c r="E104">
        <v>0</v>
      </c>
      <c r="F104" t="s">
        <v>352</v>
      </c>
      <c r="G104" t="e">
        <f t="shared" si="12"/>
        <v>#N/A</v>
      </c>
      <c r="H104" t="e">
        <f t="shared" si="13"/>
        <v>#N/A</v>
      </c>
      <c r="I104" t="e">
        <f t="shared" si="14"/>
        <v>#N/A</v>
      </c>
      <c r="J104" t="e">
        <f t="shared" si="15"/>
        <v>#N/A</v>
      </c>
      <c r="L104" t="s">
        <v>92</v>
      </c>
      <c r="M104">
        <v>2880</v>
      </c>
      <c r="N104" s="1">
        <v>0.18</v>
      </c>
      <c r="O104">
        <v>12</v>
      </c>
    </row>
    <row r="105" spans="1:15" x14ac:dyDescent="0.25">
      <c r="A105" t="s">
        <v>287</v>
      </c>
      <c r="B105">
        <v>3546</v>
      </c>
      <c r="C105">
        <v>3699</v>
      </c>
      <c r="D105" s="1">
        <v>0.04</v>
      </c>
      <c r="E105">
        <v>0</v>
      </c>
      <c r="F105" t="s">
        <v>352</v>
      </c>
      <c r="G105" t="e">
        <f t="shared" si="12"/>
        <v>#N/A</v>
      </c>
      <c r="H105" t="e">
        <f t="shared" si="13"/>
        <v>#N/A</v>
      </c>
      <c r="I105" t="e">
        <f t="shared" si="14"/>
        <v>#N/A</v>
      </c>
      <c r="J105" t="e">
        <f t="shared" si="15"/>
        <v>#N/A</v>
      </c>
      <c r="L105" t="s">
        <v>186</v>
      </c>
      <c r="M105">
        <v>458</v>
      </c>
      <c r="N105" s="1">
        <v>0.54</v>
      </c>
      <c r="O105">
        <v>10</v>
      </c>
    </row>
    <row r="106" spans="1:15" x14ac:dyDescent="0.25">
      <c r="A106" t="s">
        <v>165</v>
      </c>
      <c r="B106">
        <v>1459</v>
      </c>
      <c r="C106">
        <v>1499</v>
      </c>
      <c r="D106" s="1">
        <v>0.03</v>
      </c>
      <c r="E106">
        <v>0</v>
      </c>
      <c r="F106" t="s">
        <v>352</v>
      </c>
      <c r="G106" t="e">
        <f t="shared" si="12"/>
        <v>#N/A</v>
      </c>
      <c r="H106" t="e">
        <f t="shared" si="13"/>
        <v>#N/A</v>
      </c>
      <c r="I106" t="e">
        <f t="shared" si="14"/>
        <v>#N/A</v>
      </c>
      <c r="J106" t="e">
        <f t="shared" si="15"/>
        <v>#N/A</v>
      </c>
      <c r="L106" t="s">
        <v>102</v>
      </c>
      <c r="M106">
        <v>185</v>
      </c>
      <c r="N106" s="1">
        <v>0.52</v>
      </c>
      <c r="O106">
        <v>9</v>
      </c>
    </row>
    <row r="107" spans="1:15" x14ac:dyDescent="0.25">
      <c r="A107" t="s">
        <v>140</v>
      </c>
      <c r="B107">
        <v>2132</v>
      </c>
      <c r="C107">
        <v>2169</v>
      </c>
      <c r="D107" s="1">
        <v>0.02</v>
      </c>
      <c r="E107">
        <v>0</v>
      </c>
      <c r="F107" t="s">
        <v>352</v>
      </c>
      <c r="G107" t="e">
        <f t="shared" si="12"/>
        <v>#N/A</v>
      </c>
      <c r="H107" t="e">
        <f t="shared" si="13"/>
        <v>#N/A</v>
      </c>
      <c r="I107" t="e">
        <f t="shared" si="14"/>
        <v>#N/A</v>
      </c>
      <c r="J107" t="e">
        <f t="shared" si="15"/>
        <v>#N/A</v>
      </c>
      <c r="L107" t="s">
        <v>108</v>
      </c>
      <c r="M107">
        <v>1820</v>
      </c>
      <c r="N107" s="1">
        <v>0.48</v>
      </c>
      <c r="O107">
        <v>9</v>
      </c>
    </row>
    <row r="108" spans="1:15" x14ac:dyDescent="0.25">
      <c r="A108" t="s">
        <v>160</v>
      </c>
      <c r="B108">
        <v>1660</v>
      </c>
      <c r="C108">
        <v>1699</v>
      </c>
      <c r="D108" s="1">
        <v>0.02</v>
      </c>
      <c r="E108">
        <v>0</v>
      </c>
      <c r="F108" t="s">
        <v>352</v>
      </c>
      <c r="G108" t="e">
        <f t="shared" si="12"/>
        <v>#N/A</v>
      </c>
      <c r="H108" t="e">
        <f t="shared" si="13"/>
        <v>#N/A</v>
      </c>
      <c r="I108" t="e">
        <f t="shared" si="14"/>
        <v>#N/A</v>
      </c>
      <c r="J108" t="e">
        <f t="shared" si="15"/>
        <v>#N/A</v>
      </c>
      <c r="L108" t="s">
        <v>53</v>
      </c>
      <c r="M108">
        <v>1680</v>
      </c>
      <c r="N108" s="1">
        <v>0.33</v>
      </c>
      <c r="O108">
        <v>9</v>
      </c>
    </row>
    <row r="109" spans="1:15" x14ac:dyDescent="0.25">
      <c r="A109" t="s">
        <v>251</v>
      </c>
      <c r="B109">
        <v>1666</v>
      </c>
      <c r="C109">
        <v>1699</v>
      </c>
      <c r="D109" s="1">
        <v>0.02</v>
      </c>
      <c r="E109">
        <v>0</v>
      </c>
      <c r="F109" t="s">
        <v>352</v>
      </c>
      <c r="G109" t="e">
        <f t="shared" si="12"/>
        <v>#N/A</v>
      </c>
      <c r="H109" t="e">
        <f t="shared" si="13"/>
        <v>#N/A</v>
      </c>
      <c r="I109" t="e">
        <f t="shared" si="14"/>
        <v>#N/A</v>
      </c>
      <c r="J109" t="e">
        <f t="shared" si="15"/>
        <v>#N/A</v>
      </c>
      <c r="L109" t="s">
        <v>85</v>
      </c>
      <c r="M109">
        <v>2048</v>
      </c>
      <c r="N109" s="1">
        <v>0.54</v>
      </c>
      <c r="O109">
        <v>7</v>
      </c>
    </row>
    <row r="110" spans="1:15" x14ac:dyDescent="0.25">
      <c r="A110" t="s">
        <v>282</v>
      </c>
      <c r="B110">
        <v>1462</v>
      </c>
      <c r="C110">
        <v>1499</v>
      </c>
      <c r="D110" s="1">
        <v>0.02</v>
      </c>
      <c r="E110">
        <v>0</v>
      </c>
      <c r="F110" t="s">
        <v>352</v>
      </c>
      <c r="G110" t="e">
        <f t="shared" si="12"/>
        <v>#N/A</v>
      </c>
      <c r="H110" t="e">
        <f t="shared" si="13"/>
        <v>#N/A</v>
      </c>
      <c r="I110" t="e">
        <f t="shared" si="14"/>
        <v>#N/A</v>
      </c>
      <c r="J110" t="e">
        <f t="shared" si="15"/>
        <v>#N/A</v>
      </c>
      <c r="L110" t="s">
        <v>209</v>
      </c>
      <c r="M110">
        <v>1000</v>
      </c>
      <c r="N110" s="1">
        <v>0.5</v>
      </c>
      <c r="O110">
        <v>7</v>
      </c>
    </row>
    <row r="111" spans="1:15" x14ac:dyDescent="0.25">
      <c r="A111" t="s">
        <v>312</v>
      </c>
      <c r="B111">
        <v>1658</v>
      </c>
      <c r="C111">
        <v>1699</v>
      </c>
      <c r="D111" s="1">
        <v>0.02</v>
      </c>
      <c r="E111">
        <v>0</v>
      </c>
      <c r="F111" t="s">
        <v>352</v>
      </c>
      <c r="G111" t="e">
        <f t="shared" si="12"/>
        <v>#N/A</v>
      </c>
      <c r="H111" t="e">
        <f t="shared" si="13"/>
        <v>#N/A</v>
      </c>
      <c r="I111" t="e">
        <f t="shared" si="14"/>
        <v>#N/A</v>
      </c>
      <c r="J111" t="e">
        <f t="shared" si="15"/>
        <v>#N/A</v>
      </c>
      <c r="L111" t="s">
        <v>229</v>
      </c>
      <c r="M111">
        <v>1570</v>
      </c>
      <c r="N111" s="1">
        <v>0.47</v>
      </c>
      <c r="O111">
        <v>7</v>
      </c>
    </row>
    <row r="112" spans="1:15" x14ac:dyDescent="0.25">
      <c r="A112" t="s">
        <v>314</v>
      </c>
      <c r="B112">
        <v>1768</v>
      </c>
      <c r="C112">
        <v>1799</v>
      </c>
      <c r="D112" s="1">
        <v>0.02</v>
      </c>
      <c r="E112">
        <v>0</v>
      </c>
      <c r="F112" t="s">
        <v>352</v>
      </c>
      <c r="G112" t="e">
        <f t="shared" si="12"/>
        <v>#N/A</v>
      </c>
      <c r="H112" t="e">
        <f t="shared" si="13"/>
        <v>#N/A</v>
      </c>
      <c r="I112" t="e">
        <f t="shared" si="14"/>
        <v>#N/A</v>
      </c>
      <c r="J112" t="e">
        <f t="shared" si="15"/>
        <v>#N/A</v>
      </c>
      <c r="L112" t="s">
        <v>18</v>
      </c>
      <c r="M112">
        <v>1580</v>
      </c>
      <c r="N112" s="1">
        <v>0.37</v>
      </c>
      <c r="O112">
        <v>7</v>
      </c>
    </row>
    <row r="113" spans="1:17" x14ac:dyDescent="0.25">
      <c r="A113" t="s">
        <v>301</v>
      </c>
      <c r="B113">
        <v>1875</v>
      </c>
      <c r="C113">
        <v>1899</v>
      </c>
      <c r="D113" s="1">
        <v>0.01</v>
      </c>
      <c r="E113">
        <v>0</v>
      </c>
      <c r="F113" t="s">
        <v>352</v>
      </c>
      <c r="G113" t="e">
        <f t="shared" si="12"/>
        <v>#N/A</v>
      </c>
      <c r="H113" t="e">
        <f t="shared" si="13"/>
        <v>#N/A</v>
      </c>
      <c r="I113" t="e">
        <f t="shared" si="14"/>
        <v>#N/A</v>
      </c>
      <c r="J113" t="e">
        <f t="shared" si="15"/>
        <v>#N/A</v>
      </c>
    </row>
    <row r="114" spans="1:17" x14ac:dyDescent="0.25">
      <c r="L114" s="10" t="s">
        <v>476</v>
      </c>
    </row>
    <row r="115" spans="1:17" x14ac:dyDescent="0.25">
      <c r="L115" s="10" t="s">
        <v>0</v>
      </c>
      <c r="M115" s="10" t="s">
        <v>1</v>
      </c>
      <c r="N115" s="10" t="s">
        <v>4</v>
      </c>
      <c r="O115" s="10" t="s">
        <v>351</v>
      </c>
      <c r="P115" s="10" t="s">
        <v>406</v>
      </c>
      <c r="Q115" s="10" t="s">
        <v>407</v>
      </c>
    </row>
    <row r="116" spans="1:17" x14ac:dyDescent="0.25">
      <c r="L116" t="s">
        <v>26</v>
      </c>
      <c r="M116">
        <v>2999</v>
      </c>
      <c r="N116">
        <v>15</v>
      </c>
      <c r="O116">
        <v>4</v>
      </c>
      <c r="P116">
        <v>291</v>
      </c>
      <c r="Q116" t="s">
        <v>475</v>
      </c>
    </row>
    <row r="117" spans="1:17" x14ac:dyDescent="0.25">
      <c r="L117" t="s">
        <v>71</v>
      </c>
      <c r="M117">
        <v>38</v>
      </c>
      <c r="N117">
        <v>13</v>
      </c>
      <c r="O117">
        <v>3.3</v>
      </c>
      <c r="P117">
        <v>42</v>
      </c>
      <c r="Q117" t="s">
        <v>475</v>
      </c>
    </row>
    <row r="118" spans="1:17" x14ac:dyDescent="0.25">
      <c r="L118" t="s">
        <v>95</v>
      </c>
      <c r="M118">
        <v>1350</v>
      </c>
      <c r="N118">
        <v>13</v>
      </c>
      <c r="O118">
        <v>3.8</v>
      </c>
      <c r="P118">
        <v>640</v>
      </c>
      <c r="Q118" t="s">
        <v>475</v>
      </c>
    </row>
    <row r="119" spans="1:17" x14ac:dyDescent="0.25">
      <c r="L119" t="s">
        <v>92</v>
      </c>
      <c r="M119">
        <v>2880</v>
      </c>
      <c r="N119">
        <v>12</v>
      </c>
      <c r="O119">
        <v>3.8</v>
      </c>
      <c r="P119">
        <v>640</v>
      </c>
      <c r="Q119" t="s">
        <v>475</v>
      </c>
    </row>
    <row r="120" spans="1:17" x14ac:dyDescent="0.25">
      <c r="L120" t="s">
        <v>186</v>
      </c>
      <c r="M120">
        <v>458</v>
      </c>
      <c r="N120">
        <v>10</v>
      </c>
      <c r="O120">
        <v>3</v>
      </c>
      <c r="P120">
        <v>528</v>
      </c>
      <c r="Q120" t="s">
        <v>475</v>
      </c>
    </row>
    <row r="121" spans="1:17" x14ac:dyDescent="0.25">
      <c r="L121" t="s">
        <v>78</v>
      </c>
      <c r="M121">
        <v>880</v>
      </c>
      <c r="N121">
        <v>6</v>
      </c>
      <c r="O121">
        <v>4</v>
      </c>
      <c r="P121">
        <v>470</v>
      </c>
      <c r="Q121" t="s">
        <v>475</v>
      </c>
    </row>
    <row r="122" spans="1:17" x14ac:dyDescent="0.25">
      <c r="L122" t="s">
        <v>38</v>
      </c>
      <c r="M122">
        <v>1600</v>
      </c>
      <c r="N122">
        <v>5</v>
      </c>
      <c r="O122">
        <v>3.8</v>
      </c>
      <c r="P122">
        <v>1329</v>
      </c>
      <c r="Q122" t="s">
        <v>475</v>
      </c>
    </row>
    <row r="123" spans="1:17" x14ac:dyDescent="0.25">
      <c r="L123" t="s">
        <v>212</v>
      </c>
      <c r="M123">
        <v>3750</v>
      </c>
      <c r="N123">
        <v>5</v>
      </c>
      <c r="O123">
        <v>3</v>
      </c>
      <c r="P123">
        <v>2393</v>
      </c>
      <c r="Q123" t="s">
        <v>475</v>
      </c>
    </row>
    <row r="124" spans="1:17" x14ac:dyDescent="0.25">
      <c r="L124" t="s">
        <v>218</v>
      </c>
      <c r="M124">
        <v>2300</v>
      </c>
      <c r="N124">
        <v>5</v>
      </c>
      <c r="O124">
        <v>3</v>
      </c>
      <c r="P124">
        <v>940</v>
      </c>
      <c r="Q124" t="s">
        <v>475</v>
      </c>
    </row>
    <row r="125" spans="1:17" x14ac:dyDescent="0.25">
      <c r="L125" t="s">
        <v>224</v>
      </c>
      <c r="M125">
        <v>509</v>
      </c>
      <c r="N125">
        <v>5</v>
      </c>
      <c r="O125">
        <v>3</v>
      </c>
      <c r="P125">
        <v>390</v>
      </c>
      <c r="Q125" t="s">
        <v>475</v>
      </c>
    </row>
    <row r="126" spans="1:17" x14ac:dyDescent="0.25">
      <c r="L126" t="s">
        <v>33</v>
      </c>
      <c r="M126">
        <v>988</v>
      </c>
      <c r="N126">
        <v>2</v>
      </c>
      <c r="O126">
        <v>4</v>
      </c>
      <c r="P126">
        <v>592</v>
      </c>
      <c r="Q126" t="s">
        <v>475</v>
      </c>
    </row>
    <row r="127" spans="1:17" x14ac:dyDescent="0.25">
      <c r="L127" t="s">
        <v>243</v>
      </c>
      <c r="M127">
        <v>1189</v>
      </c>
      <c r="N127">
        <v>1</v>
      </c>
      <c r="O127">
        <v>3</v>
      </c>
      <c r="P127">
        <v>1010</v>
      </c>
      <c r="Q127" t="s">
        <v>475</v>
      </c>
    </row>
    <row r="128" spans="1:17" x14ac:dyDescent="0.25">
      <c r="L128" t="s">
        <v>253</v>
      </c>
      <c r="M128">
        <v>330</v>
      </c>
      <c r="N128">
        <v>1</v>
      </c>
      <c r="O128">
        <v>4</v>
      </c>
      <c r="P128">
        <v>317</v>
      </c>
      <c r="Q128" t="s">
        <v>475</v>
      </c>
    </row>
  </sheetData>
  <sortState xmlns:xlrd2="http://schemas.microsoft.com/office/spreadsheetml/2017/richdata2" ref="A2:J113">
    <sortCondition descending="1" ref="E2:E11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59999389629810485"/>
  </sheetPr>
  <dimension ref="A1:I143"/>
  <sheetViews>
    <sheetView topLeftCell="A49" workbookViewId="0">
      <selection activeCell="A109" sqref="A109"/>
    </sheetView>
  </sheetViews>
  <sheetFormatPr defaultRowHeight="15" x14ac:dyDescent="0.25"/>
  <cols>
    <col min="1" max="1" width="72" customWidth="1"/>
    <col min="2" max="2" width="12" customWidth="1"/>
    <col min="3" max="3" width="8.28515625" customWidth="1"/>
    <col min="4" max="4" width="16.42578125" customWidth="1"/>
    <col min="5" max="5" width="6.28515625" customWidth="1"/>
    <col min="6" max="6" width="15.7109375" customWidth="1"/>
    <col min="7" max="7" width="14.42578125" customWidth="1"/>
    <col min="8" max="8" width="16.42578125" customWidth="1"/>
    <col min="9" max="9" width="13.28515625" customWidth="1"/>
  </cols>
  <sheetData>
    <row r="1" spans="1:3" x14ac:dyDescent="0.25">
      <c r="B1" s="10" t="s">
        <v>460</v>
      </c>
      <c r="C1" s="10" t="s">
        <v>464</v>
      </c>
    </row>
    <row r="2" spans="1:3" x14ac:dyDescent="0.25">
      <c r="A2" t="s">
        <v>331</v>
      </c>
      <c r="B2">
        <v>1.2188797350860835E-2</v>
      </c>
      <c r="C2">
        <v>1E-4</v>
      </c>
    </row>
    <row r="3" spans="1:3" x14ac:dyDescent="0.25">
      <c r="A3" t="s">
        <v>461</v>
      </c>
      <c r="B3">
        <v>5.7209035119876454E-2</v>
      </c>
      <c r="C3">
        <v>3.3E-3</v>
      </c>
    </row>
    <row r="4" spans="1:3" x14ac:dyDescent="0.25">
      <c r="A4" t="s">
        <v>465</v>
      </c>
      <c r="B4" s="1">
        <v>0.11009021272510709</v>
      </c>
      <c r="C4">
        <v>1.21E-2</v>
      </c>
    </row>
    <row r="5" spans="1:3" x14ac:dyDescent="0.25">
      <c r="A5" s="1"/>
    </row>
    <row r="7" spans="1:3" x14ac:dyDescent="0.25">
      <c r="A7" s="10" t="s">
        <v>468</v>
      </c>
    </row>
    <row r="8" spans="1:3" x14ac:dyDescent="0.25">
      <c r="A8" s="10" t="s">
        <v>0</v>
      </c>
      <c r="B8" s="10" t="s">
        <v>3</v>
      </c>
    </row>
    <row r="9" spans="1:3" x14ac:dyDescent="0.25">
      <c r="A9" t="s">
        <v>316</v>
      </c>
      <c r="B9" s="1">
        <v>0.64</v>
      </c>
    </row>
    <row r="10" spans="1:3" x14ac:dyDescent="0.25">
      <c r="A10" t="s">
        <v>154</v>
      </c>
      <c r="B10" s="1">
        <v>0.61</v>
      </c>
    </row>
    <row r="11" spans="1:3" x14ac:dyDescent="0.25">
      <c r="A11" t="s">
        <v>35</v>
      </c>
      <c r="B11" s="1">
        <v>0.55000000000000004</v>
      </c>
    </row>
    <row r="12" spans="1:3" x14ac:dyDescent="0.25">
      <c r="A12" t="s">
        <v>170</v>
      </c>
      <c r="B12" s="1">
        <v>0.55000000000000004</v>
      </c>
    </row>
    <row r="13" spans="1:3" x14ac:dyDescent="0.25">
      <c r="A13" t="s">
        <v>190</v>
      </c>
      <c r="B13" s="1">
        <v>0.55000000000000004</v>
      </c>
    </row>
    <row r="14" spans="1:3" x14ac:dyDescent="0.25">
      <c r="A14" t="s">
        <v>85</v>
      </c>
      <c r="B14" s="1">
        <v>0.54</v>
      </c>
    </row>
    <row r="15" spans="1:3" x14ac:dyDescent="0.25">
      <c r="A15" t="s">
        <v>186</v>
      </c>
      <c r="B15" s="1">
        <v>0.54</v>
      </c>
    </row>
    <row r="16" spans="1:3" x14ac:dyDescent="0.25">
      <c r="A16" t="s">
        <v>71</v>
      </c>
      <c r="B16" s="1">
        <v>0.53</v>
      </c>
    </row>
    <row r="17" spans="1:2" x14ac:dyDescent="0.25">
      <c r="A17" t="s">
        <v>120</v>
      </c>
      <c r="B17" s="1">
        <v>0.53</v>
      </c>
    </row>
    <row r="18" spans="1:2" x14ac:dyDescent="0.25">
      <c r="A18" t="s">
        <v>102</v>
      </c>
      <c r="B18" s="1">
        <v>0.52</v>
      </c>
    </row>
    <row r="20" spans="1:2" x14ac:dyDescent="0.25">
      <c r="A20" s="10" t="s">
        <v>469</v>
      </c>
    </row>
    <row r="21" spans="1:2" x14ac:dyDescent="0.25">
      <c r="A21" s="10" t="s">
        <v>0</v>
      </c>
      <c r="B21" s="10" t="s">
        <v>4</v>
      </c>
    </row>
    <row r="22" spans="1:2" x14ac:dyDescent="0.25">
      <c r="A22" t="s">
        <v>194</v>
      </c>
      <c r="B22">
        <v>69</v>
      </c>
    </row>
    <row r="23" spans="1:2" x14ac:dyDescent="0.25">
      <c r="A23" t="s">
        <v>30</v>
      </c>
      <c r="B23">
        <v>55</v>
      </c>
    </row>
    <row r="24" spans="1:2" x14ac:dyDescent="0.25">
      <c r="A24" t="s">
        <v>89</v>
      </c>
      <c r="B24">
        <v>49</v>
      </c>
    </row>
    <row r="25" spans="1:2" x14ac:dyDescent="0.25">
      <c r="A25" t="s">
        <v>68</v>
      </c>
      <c r="B25">
        <v>44</v>
      </c>
    </row>
    <row r="26" spans="1:2" x14ac:dyDescent="0.25">
      <c r="A26" t="s">
        <v>44</v>
      </c>
      <c r="B26">
        <v>39</v>
      </c>
    </row>
    <row r="27" spans="1:2" x14ac:dyDescent="0.25">
      <c r="A27" t="s">
        <v>122</v>
      </c>
      <c r="B27">
        <v>36</v>
      </c>
    </row>
    <row r="28" spans="1:2" x14ac:dyDescent="0.25">
      <c r="A28" t="s">
        <v>114</v>
      </c>
      <c r="B28">
        <v>32</v>
      </c>
    </row>
    <row r="29" spans="1:2" x14ac:dyDescent="0.25">
      <c r="A29" t="s">
        <v>14</v>
      </c>
      <c r="B29">
        <v>24</v>
      </c>
    </row>
    <row r="30" spans="1:2" x14ac:dyDescent="0.25">
      <c r="A30" t="s">
        <v>97</v>
      </c>
      <c r="B30">
        <v>20</v>
      </c>
    </row>
    <row r="31" spans="1:2" x14ac:dyDescent="0.25">
      <c r="A31" t="s">
        <v>111</v>
      </c>
      <c r="B31">
        <v>20</v>
      </c>
    </row>
    <row r="33" spans="1:2" x14ac:dyDescent="0.25">
      <c r="A33" s="10" t="s">
        <v>470</v>
      </c>
    </row>
    <row r="34" spans="1:2" x14ac:dyDescent="0.25">
      <c r="A34" s="10" t="s">
        <v>0</v>
      </c>
      <c r="B34" s="10" t="s">
        <v>351</v>
      </c>
    </row>
    <row r="35" spans="1:2" x14ac:dyDescent="0.25">
      <c r="A35" t="s">
        <v>63</v>
      </c>
      <c r="B35">
        <v>5</v>
      </c>
    </row>
    <row r="36" spans="1:2" x14ac:dyDescent="0.25">
      <c r="A36" t="s">
        <v>120</v>
      </c>
      <c r="B36">
        <v>5</v>
      </c>
    </row>
    <row r="37" spans="1:2" x14ac:dyDescent="0.25">
      <c r="A37" t="s">
        <v>56</v>
      </c>
      <c r="B37">
        <v>5</v>
      </c>
    </row>
    <row r="38" spans="1:2" x14ac:dyDescent="0.25">
      <c r="A38" t="s">
        <v>60</v>
      </c>
      <c r="B38">
        <v>5</v>
      </c>
    </row>
    <row r="39" spans="1:2" x14ac:dyDescent="0.25">
      <c r="A39" t="s">
        <v>245</v>
      </c>
      <c r="B39">
        <v>5</v>
      </c>
    </row>
    <row r="40" spans="1:2" x14ac:dyDescent="0.25">
      <c r="A40" t="s">
        <v>117</v>
      </c>
      <c r="B40">
        <v>5</v>
      </c>
    </row>
    <row r="41" spans="1:2" x14ac:dyDescent="0.25">
      <c r="A41" t="s">
        <v>295</v>
      </c>
      <c r="B41">
        <v>5</v>
      </c>
    </row>
    <row r="42" spans="1:2" x14ac:dyDescent="0.25">
      <c r="A42" t="s">
        <v>47</v>
      </c>
      <c r="B42">
        <v>4.8</v>
      </c>
    </row>
    <row r="43" spans="1:2" x14ac:dyDescent="0.25">
      <c r="A43" t="s">
        <v>35</v>
      </c>
      <c r="B43">
        <v>4.8</v>
      </c>
    </row>
    <row r="44" spans="1:2" x14ac:dyDescent="0.25">
      <c r="A44" t="s">
        <v>22</v>
      </c>
      <c r="B44">
        <v>4.8</v>
      </c>
    </row>
    <row r="46" spans="1:2" x14ac:dyDescent="0.25">
      <c r="A46" s="10" t="s">
        <v>471</v>
      </c>
    </row>
    <row r="47" spans="1:2" x14ac:dyDescent="0.25">
      <c r="A47" s="10" t="s">
        <v>0</v>
      </c>
      <c r="B47" s="10" t="s">
        <v>351</v>
      </c>
    </row>
    <row r="48" spans="1:2" x14ac:dyDescent="0.25">
      <c r="A48" t="s">
        <v>318</v>
      </c>
      <c r="B48">
        <v>2</v>
      </c>
    </row>
    <row r="49" spans="1:9" x14ac:dyDescent="0.25">
      <c r="A49" t="s">
        <v>190</v>
      </c>
      <c r="B49">
        <v>2.1</v>
      </c>
    </row>
    <row r="50" spans="1:9" x14ac:dyDescent="0.25">
      <c r="A50" t="s">
        <v>229</v>
      </c>
      <c r="B50">
        <v>2.1</v>
      </c>
    </row>
    <row r="51" spans="1:9" x14ac:dyDescent="0.25">
      <c r="A51" t="s">
        <v>227</v>
      </c>
      <c r="B51">
        <v>2.2000000000000002</v>
      </c>
    </row>
    <row r="52" spans="1:9" x14ac:dyDescent="0.25">
      <c r="A52" t="s">
        <v>206</v>
      </c>
      <c r="B52">
        <v>2.2000000000000002</v>
      </c>
    </row>
    <row r="54" spans="1:9" x14ac:dyDescent="0.25">
      <c r="A54" s="10" t="s">
        <v>472</v>
      </c>
    </row>
    <row r="55" spans="1:9" x14ac:dyDescent="0.25">
      <c r="A55" s="10" t="s">
        <v>0</v>
      </c>
      <c r="B55" s="10" t="s">
        <v>1</v>
      </c>
      <c r="C55" s="10" t="s">
        <v>3</v>
      </c>
      <c r="D55" s="10" t="s">
        <v>4</v>
      </c>
      <c r="E55" s="10" t="s">
        <v>351</v>
      </c>
      <c r="F55" s="10" t="s">
        <v>406</v>
      </c>
      <c r="G55" s="10" t="s">
        <v>407</v>
      </c>
      <c r="H55" s="10" t="s">
        <v>408</v>
      </c>
      <c r="I55" s="10" t="s">
        <v>409</v>
      </c>
    </row>
    <row r="56" spans="1:9" x14ac:dyDescent="0.25">
      <c r="A56" t="s">
        <v>194</v>
      </c>
      <c r="B56">
        <v>445</v>
      </c>
      <c r="C56" s="1">
        <v>0.49</v>
      </c>
      <c r="D56">
        <v>69</v>
      </c>
      <c r="E56">
        <v>2.8</v>
      </c>
      <c r="F56">
        <v>428</v>
      </c>
      <c r="G56" t="s">
        <v>486</v>
      </c>
      <c r="H56" t="s">
        <v>426</v>
      </c>
      <c r="I56" t="s">
        <v>422</v>
      </c>
    </row>
    <row r="57" spans="1:9" x14ac:dyDescent="0.25">
      <c r="A57" t="s">
        <v>215</v>
      </c>
      <c r="B57">
        <v>382</v>
      </c>
      <c r="C57" s="1">
        <v>0.45</v>
      </c>
      <c r="D57">
        <v>17</v>
      </c>
      <c r="E57">
        <v>2.6</v>
      </c>
      <c r="F57">
        <v>318</v>
      </c>
      <c r="G57" t="s">
        <v>486</v>
      </c>
      <c r="H57" t="s">
        <v>426</v>
      </c>
      <c r="I57" t="s">
        <v>422</v>
      </c>
    </row>
    <row r="58" spans="1:9" x14ac:dyDescent="0.25">
      <c r="A58" t="s">
        <v>198</v>
      </c>
      <c r="B58">
        <v>325</v>
      </c>
      <c r="C58" s="1">
        <v>0.52</v>
      </c>
      <c r="D58">
        <v>15</v>
      </c>
      <c r="E58">
        <v>2.7</v>
      </c>
      <c r="F58">
        <v>355</v>
      </c>
      <c r="G58" t="s">
        <v>486</v>
      </c>
      <c r="H58" t="s">
        <v>426</v>
      </c>
      <c r="I58" t="s">
        <v>422</v>
      </c>
    </row>
    <row r="59" spans="1:9" x14ac:dyDescent="0.25">
      <c r="A59" t="s">
        <v>190</v>
      </c>
      <c r="B59">
        <v>2115</v>
      </c>
      <c r="C59" s="1">
        <v>0.55000000000000004</v>
      </c>
      <c r="D59">
        <v>13</v>
      </c>
      <c r="E59">
        <v>2.1</v>
      </c>
      <c r="F59">
        <v>2585</v>
      </c>
      <c r="G59" t="s">
        <v>486</v>
      </c>
      <c r="H59" t="s">
        <v>426</v>
      </c>
      <c r="I59" t="s">
        <v>426</v>
      </c>
    </row>
    <row r="60" spans="1:9" x14ac:dyDescent="0.25">
      <c r="A60" t="s">
        <v>209</v>
      </c>
      <c r="B60">
        <v>1000</v>
      </c>
      <c r="C60" s="1">
        <v>0.5</v>
      </c>
      <c r="D60">
        <v>7</v>
      </c>
      <c r="E60">
        <v>2.2999999999999998</v>
      </c>
      <c r="F60">
        <v>1000</v>
      </c>
      <c r="G60" t="s">
        <v>486</v>
      </c>
      <c r="H60" t="s">
        <v>426</v>
      </c>
      <c r="I60" t="s">
        <v>424</v>
      </c>
    </row>
    <row r="61" spans="1:9" x14ac:dyDescent="0.25">
      <c r="A61" t="s">
        <v>229</v>
      </c>
      <c r="B61">
        <v>1570</v>
      </c>
      <c r="C61" s="1">
        <v>0.47</v>
      </c>
      <c r="D61">
        <v>7</v>
      </c>
      <c r="E61">
        <v>2.1</v>
      </c>
      <c r="F61">
        <v>1418</v>
      </c>
      <c r="G61" t="s">
        <v>486</v>
      </c>
      <c r="H61" t="s">
        <v>426</v>
      </c>
      <c r="I61" t="s">
        <v>424</v>
      </c>
    </row>
    <row r="62" spans="1:9" x14ac:dyDescent="0.25">
      <c r="A62" t="s">
        <v>206</v>
      </c>
      <c r="B62">
        <v>990</v>
      </c>
      <c r="C62" s="1">
        <v>0.45</v>
      </c>
      <c r="D62">
        <v>6</v>
      </c>
      <c r="E62">
        <v>2.2000000000000002</v>
      </c>
      <c r="F62">
        <v>824</v>
      </c>
      <c r="G62" t="s">
        <v>486</v>
      </c>
      <c r="H62" t="s">
        <v>426</v>
      </c>
      <c r="I62" t="s">
        <v>424</v>
      </c>
    </row>
    <row r="63" spans="1:9" x14ac:dyDescent="0.25">
      <c r="A63" t="s">
        <v>221</v>
      </c>
      <c r="B63">
        <v>345</v>
      </c>
      <c r="C63" s="1">
        <v>0.43</v>
      </c>
      <c r="D63">
        <v>6</v>
      </c>
      <c r="E63">
        <v>2.2999999999999998</v>
      </c>
      <c r="F63">
        <v>257</v>
      </c>
      <c r="G63" t="s">
        <v>486</v>
      </c>
      <c r="H63" t="s">
        <v>426</v>
      </c>
      <c r="I63" t="s">
        <v>422</v>
      </c>
    </row>
    <row r="64" spans="1:9" x14ac:dyDescent="0.25">
      <c r="A64" t="s">
        <v>227</v>
      </c>
      <c r="B64">
        <v>968</v>
      </c>
      <c r="C64" s="1">
        <v>0.47</v>
      </c>
      <c r="D64">
        <v>6</v>
      </c>
      <c r="E64">
        <v>2.2000000000000002</v>
      </c>
      <c r="F64">
        <v>846</v>
      </c>
      <c r="G64" t="s">
        <v>486</v>
      </c>
      <c r="H64" t="s">
        <v>426</v>
      </c>
      <c r="I64" t="s">
        <v>424</v>
      </c>
    </row>
    <row r="65" spans="1:9" x14ac:dyDescent="0.25">
      <c r="A65" t="s">
        <v>318</v>
      </c>
      <c r="B65">
        <v>450</v>
      </c>
      <c r="C65" s="1">
        <v>0.5</v>
      </c>
      <c r="D65">
        <v>1</v>
      </c>
      <c r="E65">
        <v>2</v>
      </c>
      <c r="F65">
        <v>450</v>
      </c>
      <c r="G65" t="s">
        <v>486</v>
      </c>
      <c r="H65" t="s">
        <v>426</v>
      </c>
      <c r="I65" t="s">
        <v>422</v>
      </c>
    </row>
    <row r="67" spans="1:9" x14ac:dyDescent="0.25">
      <c r="A67" s="10" t="s">
        <v>474</v>
      </c>
    </row>
    <row r="68" spans="1:9" x14ac:dyDescent="0.25">
      <c r="A68" s="10" t="s">
        <v>0</v>
      </c>
      <c r="B68" s="10" t="s">
        <v>1</v>
      </c>
      <c r="C68" s="10" t="s">
        <v>3</v>
      </c>
      <c r="D68" s="10" t="s">
        <v>4</v>
      </c>
    </row>
    <row r="69" spans="1:9" x14ac:dyDescent="0.25">
      <c r="A69" t="s">
        <v>194</v>
      </c>
      <c r="B69">
        <v>445</v>
      </c>
      <c r="C69" s="1">
        <v>0.49</v>
      </c>
      <c r="D69">
        <v>69</v>
      </c>
    </row>
    <row r="70" spans="1:9" x14ac:dyDescent="0.25">
      <c r="A70" t="s">
        <v>30</v>
      </c>
      <c r="B70">
        <v>2319</v>
      </c>
      <c r="C70" s="1">
        <v>0.24</v>
      </c>
      <c r="D70">
        <v>55</v>
      </c>
    </row>
    <row r="71" spans="1:9" x14ac:dyDescent="0.25">
      <c r="A71" t="s">
        <v>89</v>
      </c>
      <c r="B71">
        <v>420</v>
      </c>
      <c r="C71" s="1">
        <v>0.35</v>
      </c>
      <c r="D71">
        <v>49</v>
      </c>
    </row>
    <row r="72" spans="1:9" x14ac:dyDescent="0.25">
      <c r="A72" t="s">
        <v>68</v>
      </c>
      <c r="B72">
        <v>998</v>
      </c>
      <c r="C72" s="1">
        <v>0.49</v>
      </c>
      <c r="D72">
        <v>44</v>
      </c>
    </row>
    <row r="73" spans="1:9" x14ac:dyDescent="0.25">
      <c r="A73" t="s">
        <v>44</v>
      </c>
      <c r="B73">
        <v>990</v>
      </c>
      <c r="C73" s="1">
        <v>0.34</v>
      </c>
      <c r="D73">
        <v>39</v>
      </c>
    </row>
    <row r="74" spans="1:9" x14ac:dyDescent="0.25">
      <c r="A74" t="s">
        <v>122</v>
      </c>
      <c r="B74">
        <v>389</v>
      </c>
      <c r="C74" s="1">
        <v>0.41</v>
      </c>
      <c r="D74">
        <v>36</v>
      </c>
    </row>
    <row r="75" spans="1:9" x14ac:dyDescent="0.25">
      <c r="A75" t="s">
        <v>114</v>
      </c>
      <c r="B75">
        <v>1980</v>
      </c>
      <c r="C75" s="1">
        <v>0.27</v>
      </c>
      <c r="D75">
        <v>32</v>
      </c>
    </row>
    <row r="76" spans="1:9" x14ac:dyDescent="0.25">
      <c r="A76" t="s">
        <v>14</v>
      </c>
      <c r="B76">
        <v>2199</v>
      </c>
      <c r="C76" s="1">
        <v>0.25</v>
      </c>
      <c r="D76">
        <v>24</v>
      </c>
    </row>
    <row r="77" spans="1:9" x14ac:dyDescent="0.25">
      <c r="A77" t="s">
        <v>97</v>
      </c>
      <c r="B77">
        <v>1758</v>
      </c>
      <c r="C77" s="1">
        <v>0.3</v>
      </c>
      <c r="D77">
        <v>20</v>
      </c>
    </row>
    <row r="78" spans="1:9" x14ac:dyDescent="0.25">
      <c r="A78" t="s">
        <v>111</v>
      </c>
      <c r="B78">
        <v>1940</v>
      </c>
      <c r="C78" s="1">
        <v>0.27</v>
      </c>
      <c r="D78">
        <v>20</v>
      </c>
    </row>
    <row r="79" spans="1:9" x14ac:dyDescent="0.25">
      <c r="A79" t="s">
        <v>215</v>
      </c>
      <c r="B79">
        <v>382</v>
      </c>
      <c r="C79" s="1">
        <v>0.45</v>
      </c>
      <c r="D79">
        <v>17</v>
      </c>
    </row>
    <row r="80" spans="1:9" x14ac:dyDescent="0.25">
      <c r="A80" t="s">
        <v>202</v>
      </c>
      <c r="B80">
        <v>1220</v>
      </c>
      <c r="C80" s="1">
        <v>0.22</v>
      </c>
      <c r="D80">
        <v>16</v>
      </c>
    </row>
    <row r="81" spans="1:4" x14ac:dyDescent="0.25">
      <c r="A81" t="s">
        <v>198</v>
      </c>
      <c r="B81">
        <v>325</v>
      </c>
      <c r="C81" s="1">
        <v>0.52</v>
      </c>
      <c r="D81">
        <v>15</v>
      </c>
    </row>
    <row r="82" spans="1:4" x14ac:dyDescent="0.25">
      <c r="A82" t="s">
        <v>26</v>
      </c>
      <c r="B82">
        <v>2999</v>
      </c>
      <c r="C82" s="1">
        <v>0.09</v>
      </c>
      <c r="D82">
        <v>15</v>
      </c>
    </row>
    <row r="83" spans="1:4" x14ac:dyDescent="0.25">
      <c r="A83" t="s">
        <v>10</v>
      </c>
      <c r="B83">
        <v>527</v>
      </c>
      <c r="C83" s="1">
        <v>0.47</v>
      </c>
      <c r="D83">
        <v>14</v>
      </c>
    </row>
    <row r="84" spans="1:4" x14ac:dyDescent="0.25">
      <c r="A84" t="s">
        <v>81</v>
      </c>
      <c r="B84">
        <v>1650</v>
      </c>
      <c r="C84" s="1">
        <v>0.23</v>
      </c>
      <c r="D84">
        <v>14</v>
      </c>
    </row>
    <row r="85" spans="1:4" x14ac:dyDescent="0.25">
      <c r="A85" t="s">
        <v>190</v>
      </c>
      <c r="B85">
        <v>2115</v>
      </c>
      <c r="C85" s="1">
        <v>0.55000000000000004</v>
      </c>
      <c r="D85">
        <v>13</v>
      </c>
    </row>
    <row r="86" spans="1:4" x14ac:dyDescent="0.25">
      <c r="A86" t="s">
        <v>71</v>
      </c>
      <c r="B86">
        <v>38</v>
      </c>
      <c r="C86" s="1">
        <v>0.53</v>
      </c>
      <c r="D86">
        <v>13</v>
      </c>
    </row>
    <row r="87" spans="1:4" x14ac:dyDescent="0.25">
      <c r="A87" t="s">
        <v>95</v>
      </c>
      <c r="B87">
        <v>1350</v>
      </c>
      <c r="C87" s="1">
        <v>0.32</v>
      </c>
      <c r="D87">
        <v>13</v>
      </c>
    </row>
    <row r="88" spans="1:4" x14ac:dyDescent="0.25">
      <c r="A88" t="s">
        <v>47</v>
      </c>
      <c r="B88">
        <v>552</v>
      </c>
      <c r="C88" s="1">
        <v>0.47</v>
      </c>
      <c r="D88">
        <v>12</v>
      </c>
    </row>
    <row r="89" spans="1:4" x14ac:dyDescent="0.25">
      <c r="A89" t="s">
        <v>105</v>
      </c>
      <c r="B89">
        <v>980</v>
      </c>
      <c r="C89" s="1">
        <v>0.34</v>
      </c>
      <c r="D89">
        <v>12</v>
      </c>
    </row>
    <row r="90" spans="1:4" x14ac:dyDescent="0.25">
      <c r="A90" t="s">
        <v>42</v>
      </c>
      <c r="B90">
        <v>799</v>
      </c>
      <c r="C90" s="1">
        <v>0.2</v>
      </c>
      <c r="D90">
        <v>12</v>
      </c>
    </row>
    <row r="91" spans="1:4" x14ac:dyDescent="0.25">
      <c r="A91" t="s">
        <v>92</v>
      </c>
      <c r="B91">
        <v>2880</v>
      </c>
      <c r="C91" s="1">
        <v>0.18</v>
      </c>
      <c r="D91">
        <v>12</v>
      </c>
    </row>
    <row r="92" spans="1:4" x14ac:dyDescent="0.25">
      <c r="A92" t="s">
        <v>186</v>
      </c>
      <c r="B92">
        <v>458</v>
      </c>
      <c r="C92" s="1">
        <v>0.54</v>
      </c>
      <c r="D92">
        <v>10</v>
      </c>
    </row>
    <row r="93" spans="1:4" x14ac:dyDescent="0.25">
      <c r="A93" t="s">
        <v>102</v>
      </c>
      <c r="B93">
        <v>185</v>
      </c>
      <c r="C93" s="1">
        <v>0.52</v>
      </c>
      <c r="D93">
        <v>9</v>
      </c>
    </row>
    <row r="94" spans="1:4" x14ac:dyDescent="0.25">
      <c r="A94" t="s">
        <v>108</v>
      </c>
      <c r="B94">
        <v>1820</v>
      </c>
      <c r="C94" s="1">
        <v>0.48</v>
      </c>
      <c r="D94">
        <v>9</v>
      </c>
    </row>
    <row r="95" spans="1:4" x14ac:dyDescent="0.25">
      <c r="A95" t="s">
        <v>53</v>
      </c>
      <c r="B95">
        <v>1680</v>
      </c>
      <c r="C95" s="1">
        <v>0.33</v>
      </c>
      <c r="D95">
        <v>9</v>
      </c>
    </row>
    <row r="96" spans="1:4" x14ac:dyDescent="0.25">
      <c r="A96" t="s">
        <v>85</v>
      </c>
      <c r="B96">
        <v>2048</v>
      </c>
      <c r="C96" s="1">
        <v>0.54</v>
      </c>
      <c r="D96">
        <v>7</v>
      </c>
    </row>
    <row r="97" spans="1:9" x14ac:dyDescent="0.25">
      <c r="A97" t="s">
        <v>209</v>
      </c>
      <c r="B97">
        <v>1000</v>
      </c>
      <c r="C97" s="1">
        <v>0.5</v>
      </c>
      <c r="D97">
        <v>7</v>
      </c>
    </row>
    <row r="98" spans="1:9" x14ac:dyDescent="0.25">
      <c r="A98" t="s">
        <v>229</v>
      </c>
      <c r="B98">
        <v>1570</v>
      </c>
      <c r="C98" s="1">
        <v>0.47</v>
      </c>
      <c r="D98">
        <v>7</v>
      </c>
    </row>
    <row r="99" spans="1:9" x14ac:dyDescent="0.25">
      <c r="A99" t="s">
        <v>18</v>
      </c>
      <c r="B99">
        <v>1580</v>
      </c>
      <c r="C99" s="1">
        <v>0.37</v>
      </c>
      <c r="D99">
        <v>7</v>
      </c>
    </row>
    <row r="101" spans="1:9" x14ac:dyDescent="0.25">
      <c r="A101" s="10" t="s">
        <v>476</v>
      </c>
    </row>
    <row r="102" spans="1:9" x14ac:dyDescent="0.25">
      <c r="A102" s="10" t="s">
        <v>0</v>
      </c>
      <c r="B102" s="10" t="s">
        <v>1</v>
      </c>
      <c r="C102" s="10" t="s">
        <v>3</v>
      </c>
      <c r="D102" s="10" t="s">
        <v>4</v>
      </c>
      <c r="E102" s="10" t="s">
        <v>351</v>
      </c>
      <c r="F102" s="10" t="s">
        <v>406</v>
      </c>
      <c r="G102" s="10" t="s">
        <v>407</v>
      </c>
      <c r="H102" s="10" t="s">
        <v>408</v>
      </c>
      <c r="I102" s="10" t="s">
        <v>409</v>
      </c>
    </row>
    <row r="103" spans="1:9" x14ac:dyDescent="0.25">
      <c r="A103" t="s">
        <v>26</v>
      </c>
      <c r="B103">
        <v>2999</v>
      </c>
      <c r="C103" s="1">
        <v>0.09</v>
      </c>
      <c r="D103">
        <v>15</v>
      </c>
      <c r="E103">
        <v>4</v>
      </c>
      <c r="F103">
        <v>291</v>
      </c>
      <c r="G103" t="s">
        <v>475</v>
      </c>
      <c r="H103" t="s">
        <v>422</v>
      </c>
      <c r="I103" t="s">
        <v>426</v>
      </c>
    </row>
    <row r="104" spans="1:9" x14ac:dyDescent="0.25">
      <c r="A104" t="s">
        <v>71</v>
      </c>
      <c r="B104">
        <v>38</v>
      </c>
      <c r="C104" s="1">
        <v>0.53</v>
      </c>
      <c r="D104">
        <v>13</v>
      </c>
      <c r="E104">
        <v>3.3</v>
      </c>
      <c r="F104">
        <v>42</v>
      </c>
      <c r="G104" t="s">
        <v>475</v>
      </c>
      <c r="H104" t="s">
        <v>426</v>
      </c>
      <c r="I104" t="s">
        <v>422</v>
      </c>
    </row>
    <row r="105" spans="1:9" x14ac:dyDescent="0.25">
      <c r="A105" t="s">
        <v>95</v>
      </c>
      <c r="B105">
        <v>1350</v>
      </c>
      <c r="C105" s="1">
        <v>0.32</v>
      </c>
      <c r="D105">
        <v>13</v>
      </c>
      <c r="E105">
        <v>3.8</v>
      </c>
      <c r="F105">
        <v>640</v>
      </c>
      <c r="G105" t="s">
        <v>475</v>
      </c>
      <c r="H105" t="s">
        <v>424</v>
      </c>
      <c r="I105" t="s">
        <v>424</v>
      </c>
    </row>
    <row r="106" spans="1:9" x14ac:dyDescent="0.25">
      <c r="A106" t="s">
        <v>92</v>
      </c>
      <c r="B106">
        <v>2880</v>
      </c>
      <c r="C106" s="1">
        <v>0.18</v>
      </c>
      <c r="D106">
        <v>12</v>
      </c>
      <c r="E106">
        <v>3.8</v>
      </c>
      <c r="F106">
        <v>640</v>
      </c>
      <c r="G106" t="s">
        <v>475</v>
      </c>
      <c r="H106" t="s">
        <v>422</v>
      </c>
      <c r="I106" t="s">
        <v>426</v>
      </c>
    </row>
    <row r="107" spans="1:9" x14ac:dyDescent="0.25">
      <c r="A107" t="s">
        <v>186</v>
      </c>
      <c r="B107">
        <v>458</v>
      </c>
      <c r="C107" s="1">
        <v>0.54</v>
      </c>
      <c r="D107">
        <v>10</v>
      </c>
      <c r="E107">
        <v>3</v>
      </c>
      <c r="F107">
        <v>528</v>
      </c>
      <c r="G107" t="s">
        <v>475</v>
      </c>
      <c r="H107" t="s">
        <v>426</v>
      </c>
      <c r="I107" t="s">
        <v>422</v>
      </c>
    </row>
    <row r="110" spans="1:9" x14ac:dyDescent="0.25">
      <c r="A110" s="10" t="s">
        <v>473</v>
      </c>
    </row>
    <row r="111" spans="1:9" x14ac:dyDescent="0.25">
      <c r="A111" s="10" t="s">
        <v>0</v>
      </c>
      <c r="B111" s="10" t="s">
        <v>1</v>
      </c>
      <c r="C111" s="10" t="s">
        <v>3</v>
      </c>
      <c r="D111" s="10" t="s">
        <v>4</v>
      </c>
      <c r="E111" s="10" t="s">
        <v>351</v>
      </c>
      <c r="F111" s="10" t="s">
        <v>406</v>
      </c>
      <c r="G111" s="10" t="s">
        <v>407</v>
      </c>
      <c r="H111" s="10" t="s">
        <v>408</v>
      </c>
      <c r="I111" s="10" t="s">
        <v>409</v>
      </c>
    </row>
    <row r="112" spans="1:9" x14ac:dyDescent="0.25">
      <c r="A112" t="s">
        <v>75</v>
      </c>
      <c r="B112">
        <v>1860</v>
      </c>
      <c r="C112" s="1">
        <v>0.42</v>
      </c>
      <c r="D112">
        <v>0</v>
      </c>
      <c r="E112" t="s">
        <v>352</v>
      </c>
      <c r="F112">
        <v>1360</v>
      </c>
      <c r="G112" t="s">
        <v>485</v>
      </c>
      <c r="H112" t="s">
        <v>426</v>
      </c>
      <c r="I112" t="s">
        <v>426</v>
      </c>
    </row>
    <row r="113" spans="1:9" x14ac:dyDescent="0.25">
      <c r="A113" t="s">
        <v>99</v>
      </c>
      <c r="B113">
        <v>2200</v>
      </c>
      <c r="C113" s="1">
        <v>0.46</v>
      </c>
      <c r="D113">
        <v>0</v>
      </c>
      <c r="E113" t="s">
        <v>352</v>
      </c>
      <c r="F113">
        <v>1880</v>
      </c>
      <c r="G113" t="s">
        <v>485</v>
      </c>
      <c r="H113" t="s">
        <v>426</v>
      </c>
      <c r="I113" t="s">
        <v>426</v>
      </c>
    </row>
    <row r="114" spans="1:9" x14ac:dyDescent="0.25">
      <c r="A114" t="s">
        <v>131</v>
      </c>
      <c r="B114">
        <v>475</v>
      </c>
      <c r="C114" s="1">
        <v>0.49</v>
      </c>
      <c r="D114">
        <v>0</v>
      </c>
      <c r="E114" t="s">
        <v>352</v>
      </c>
      <c r="F114">
        <v>456</v>
      </c>
      <c r="G114" t="s">
        <v>485</v>
      </c>
      <c r="H114" t="s">
        <v>426</v>
      </c>
      <c r="I114" t="s">
        <v>422</v>
      </c>
    </row>
    <row r="115" spans="1:9" x14ac:dyDescent="0.25">
      <c r="A115" t="s">
        <v>134</v>
      </c>
      <c r="B115">
        <v>238</v>
      </c>
      <c r="C115" s="1">
        <v>0.5</v>
      </c>
      <c r="D115">
        <v>0</v>
      </c>
      <c r="E115" t="s">
        <v>352</v>
      </c>
      <c r="F115">
        <v>238</v>
      </c>
      <c r="G115" t="s">
        <v>485</v>
      </c>
      <c r="H115" t="s">
        <v>426</v>
      </c>
      <c r="I115" t="s">
        <v>422</v>
      </c>
    </row>
    <row r="116" spans="1:9" x14ac:dyDescent="0.25">
      <c r="A116" t="s">
        <v>137</v>
      </c>
      <c r="B116">
        <v>610</v>
      </c>
      <c r="C116" s="1">
        <v>0.42</v>
      </c>
      <c r="D116">
        <v>0</v>
      </c>
      <c r="E116" t="s">
        <v>352</v>
      </c>
      <c r="F116">
        <v>450</v>
      </c>
      <c r="G116" t="s">
        <v>485</v>
      </c>
      <c r="H116" t="s">
        <v>426</v>
      </c>
      <c r="I116" t="s">
        <v>424</v>
      </c>
    </row>
    <row r="117" spans="1:9" x14ac:dyDescent="0.25">
      <c r="A117" t="s">
        <v>143</v>
      </c>
      <c r="B117">
        <v>999</v>
      </c>
      <c r="C117" s="1">
        <v>0.5</v>
      </c>
      <c r="D117">
        <v>0</v>
      </c>
      <c r="E117" t="s">
        <v>352</v>
      </c>
      <c r="F117">
        <v>1001</v>
      </c>
      <c r="G117" t="s">
        <v>485</v>
      </c>
      <c r="H117" t="s">
        <v>426</v>
      </c>
      <c r="I117" t="s">
        <v>424</v>
      </c>
    </row>
    <row r="118" spans="1:9" x14ac:dyDescent="0.25">
      <c r="A118" t="s">
        <v>148</v>
      </c>
      <c r="B118">
        <v>671</v>
      </c>
      <c r="C118" s="1">
        <v>0.49</v>
      </c>
      <c r="D118">
        <v>0</v>
      </c>
      <c r="E118" t="s">
        <v>352</v>
      </c>
      <c r="F118">
        <v>645</v>
      </c>
      <c r="G118" t="s">
        <v>485</v>
      </c>
      <c r="H118" t="s">
        <v>426</v>
      </c>
      <c r="I118" t="s">
        <v>424</v>
      </c>
    </row>
    <row r="119" spans="1:9" x14ac:dyDescent="0.25">
      <c r="A119" t="s">
        <v>154</v>
      </c>
      <c r="B119">
        <v>199</v>
      </c>
      <c r="C119" s="1">
        <v>0.61</v>
      </c>
      <c r="D119">
        <v>0</v>
      </c>
      <c r="E119" t="s">
        <v>352</v>
      </c>
      <c r="F119">
        <v>305</v>
      </c>
      <c r="G119" t="s">
        <v>485</v>
      </c>
      <c r="H119" t="s">
        <v>426</v>
      </c>
      <c r="I119" t="s">
        <v>422</v>
      </c>
    </row>
    <row r="120" spans="1:9" x14ac:dyDescent="0.25">
      <c r="A120" t="s">
        <v>157</v>
      </c>
      <c r="B120">
        <v>299</v>
      </c>
      <c r="C120" s="1">
        <v>0.5</v>
      </c>
      <c r="D120">
        <v>0</v>
      </c>
      <c r="E120" t="s">
        <v>352</v>
      </c>
      <c r="F120">
        <v>301</v>
      </c>
      <c r="G120" t="s">
        <v>485</v>
      </c>
      <c r="H120" t="s">
        <v>426</v>
      </c>
      <c r="I120" t="s">
        <v>422</v>
      </c>
    </row>
    <row r="121" spans="1:9" x14ac:dyDescent="0.25">
      <c r="A121" t="s">
        <v>168</v>
      </c>
      <c r="B121">
        <v>799</v>
      </c>
      <c r="C121" s="1">
        <v>0.41</v>
      </c>
      <c r="D121">
        <v>0</v>
      </c>
      <c r="E121" t="s">
        <v>352</v>
      </c>
      <c r="F121">
        <v>544</v>
      </c>
      <c r="G121" t="s">
        <v>485</v>
      </c>
      <c r="H121" t="s">
        <v>426</v>
      </c>
      <c r="I121" t="s">
        <v>424</v>
      </c>
    </row>
    <row r="122" spans="1:9" x14ac:dyDescent="0.25">
      <c r="A122" t="s">
        <v>170</v>
      </c>
      <c r="B122">
        <v>499</v>
      </c>
      <c r="C122" s="1">
        <v>0.45</v>
      </c>
      <c r="D122">
        <v>0</v>
      </c>
      <c r="E122" t="s">
        <v>352</v>
      </c>
      <c r="F122">
        <v>401</v>
      </c>
      <c r="G122" t="s">
        <v>485</v>
      </c>
      <c r="H122" t="s">
        <v>426</v>
      </c>
      <c r="I122" t="s">
        <v>424</v>
      </c>
    </row>
    <row r="123" spans="1:9" x14ac:dyDescent="0.25">
      <c r="A123" t="s">
        <v>173</v>
      </c>
      <c r="B123">
        <v>699</v>
      </c>
      <c r="C123" s="1">
        <v>0.48</v>
      </c>
      <c r="D123">
        <v>0</v>
      </c>
      <c r="E123" t="s">
        <v>352</v>
      </c>
      <c r="F123">
        <v>644</v>
      </c>
      <c r="G123" t="s">
        <v>485</v>
      </c>
      <c r="H123" t="s">
        <v>426</v>
      </c>
      <c r="I123" t="s">
        <v>424</v>
      </c>
    </row>
    <row r="124" spans="1:9" x14ac:dyDescent="0.25">
      <c r="A124" t="s">
        <v>175</v>
      </c>
      <c r="B124">
        <v>799</v>
      </c>
      <c r="C124" s="1">
        <v>0.49</v>
      </c>
      <c r="D124">
        <v>0</v>
      </c>
      <c r="E124" t="s">
        <v>352</v>
      </c>
      <c r="F124">
        <v>768</v>
      </c>
      <c r="G124" t="s">
        <v>485</v>
      </c>
      <c r="H124" t="s">
        <v>426</v>
      </c>
      <c r="I124" t="s">
        <v>424</v>
      </c>
    </row>
    <row r="125" spans="1:9" x14ac:dyDescent="0.25">
      <c r="A125" t="s">
        <v>170</v>
      </c>
      <c r="B125">
        <v>399</v>
      </c>
      <c r="C125" s="1">
        <v>0.55000000000000004</v>
      </c>
      <c r="D125">
        <v>0</v>
      </c>
      <c r="E125" t="s">
        <v>352</v>
      </c>
      <c r="F125">
        <v>497</v>
      </c>
      <c r="G125" t="s">
        <v>485</v>
      </c>
      <c r="H125" t="s">
        <v>426</v>
      </c>
      <c r="I125" t="s">
        <v>422</v>
      </c>
    </row>
    <row r="126" spans="1:9" x14ac:dyDescent="0.25">
      <c r="A126" t="s">
        <v>232</v>
      </c>
      <c r="B126">
        <v>790</v>
      </c>
      <c r="C126" s="1">
        <v>0.47</v>
      </c>
      <c r="D126">
        <v>0</v>
      </c>
      <c r="E126" t="s">
        <v>352</v>
      </c>
      <c r="F126">
        <v>695</v>
      </c>
      <c r="G126" t="s">
        <v>485</v>
      </c>
      <c r="H126" t="s">
        <v>426</v>
      </c>
      <c r="I126" t="s">
        <v>424</v>
      </c>
    </row>
    <row r="127" spans="1:9" x14ac:dyDescent="0.25">
      <c r="A127" t="s">
        <v>235</v>
      </c>
      <c r="B127">
        <v>690</v>
      </c>
      <c r="C127" s="1">
        <v>0.43</v>
      </c>
      <c r="D127">
        <v>0</v>
      </c>
      <c r="E127" t="s">
        <v>352</v>
      </c>
      <c r="F127">
        <v>510</v>
      </c>
      <c r="G127" t="s">
        <v>485</v>
      </c>
      <c r="H127" t="s">
        <v>426</v>
      </c>
      <c r="I127" t="s">
        <v>424</v>
      </c>
    </row>
    <row r="128" spans="1:9" x14ac:dyDescent="0.25">
      <c r="A128" t="s">
        <v>240</v>
      </c>
      <c r="B128">
        <v>230</v>
      </c>
      <c r="C128" s="1">
        <v>0.49</v>
      </c>
      <c r="D128">
        <v>0</v>
      </c>
      <c r="E128" t="s">
        <v>352</v>
      </c>
      <c r="F128">
        <v>220</v>
      </c>
      <c r="G128" t="s">
        <v>485</v>
      </c>
      <c r="H128" t="s">
        <v>426</v>
      </c>
      <c r="I128" t="s">
        <v>422</v>
      </c>
    </row>
    <row r="129" spans="1:9" x14ac:dyDescent="0.25">
      <c r="A129" t="s">
        <v>154</v>
      </c>
      <c r="B129">
        <v>176</v>
      </c>
      <c r="C129" s="1">
        <v>0.49</v>
      </c>
      <c r="D129">
        <v>0</v>
      </c>
      <c r="E129" t="s">
        <v>352</v>
      </c>
      <c r="F129">
        <v>169</v>
      </c>
      <c r="G129" t="s">
        <v>485</v>
      </c>
      <c r="H129" t="s">
        <v>426</v>
      </c>
      <c r="I129" t="s">
        <v>422</v>
      </c>
    </row>
    <row r="130" spans="1:9" x14ac:dyDescent="0.25">
      <c r="A130" t="s">
        <v>258</v>
      </c>
      <c r="B130">
        <v>274</v>
      </c>
      <c r="C130" s="1">
        <v>0.49</v>
      </c>
      <c r="D130">
        <v>0</v>
      </c>
      <c r="E130" t="s">
        <v>352</v>
      </c>
      <c r="F130">
        <v>263</v>
      </c>
      <c r="G130" t="s">
        <v>485</v>
      </c>
      <c r="H130" t="s">
        <v>426</v>
      </c>
      <c r="I130" t="s">
        <v>422</v>
      </c>
    </row>
    <row r="131" spans="1:9" x14ac:dyDescent="0.25">
      <c r="A131" t="s">
        <v>175</v>
      </c>
      <c r="B131">
        <v>657</v>
      </c>
      <c r="C131" s="1">
        <v>0.49</v>
      </c>
      <c r="D131">
        <v>0</v>
      </c>
      <c r="E131" t="s">
        <v>352</v>
      </c>
      <c r="F131">
        <v>631</v>
      </c>
      <c r="G131" t="s">
        <v>485</v>
      </c>
      <c r="H131" t="s">
        <v>426</v>
      </c>
      <c r="I131" t="s">
        <v>424</v>
      </c>
    </row>
    <row r="132" spans="1:9" x14ac:dyDescent="0.25">
      <c r="A132" t="s">
        <v>266</v>
      </c>
      <c r="B132">
        <v>630</v>
      </c>
      <c r="C132" s="1">
        <v>0.43</v>
      </c>
      <c r="D132">
        <v>0</v>
      </c>
      <c r="E132" t="s">
        <v>352</v>
      </c>
      <c r="F132">
        <v>470</v>
      </c>
      <c r="G132" t="s">
        <v>485</v>
      </c>
      <c r="H132" t="s">
        <v>426</v>
      </c>
      <c r="I132" t="s">
        <v>424</v>
      </c>
    </row>
    <row r="133" spans="1:9" x14ac:dyDescent="0.25">
      <c r="A133" t="s">
        <v>269</v>
      </c>
      <c r="B133">
        <v>850</v>
      </c>
      <c r="C133" s="1">
        <v>0.5</v>
      </c>
      <c r="D133">
        <v>0</v>
      </c>
      <c r="E133" t="s">
        <v>352</v>
      </c>
      <c r="F133">
        <v>850</v>
      </c>
      <c r="G133" t="s">
        <v>485</v>
      </c>
      <c r="H133" t="s">
        <v>426</v>
      </c>
      <c r="I133" t="s">
        <v>424</v>
      </c>
    </row>
    <row r="134" spans="1:9" x14ac:dyDescent="0.25">
      <c r="A134" t="s">
        <v>272</v>
      </c>
      <c r="B134">
        <v>1300</v>
      </c>
      <c r="C134" s="1">
        <v>0.48</v>
      </c>
      <c r="D134">
        <v>0</v>
      </c>
      <c r="E134" t="s">
        <v>352</v>
      </c>
      <c r="F134">
        <v>1200</v>
      </c>
      <c r="G134" t="s">
        <v>485</v>
      </c>
      <c r="H134" t="s">
        <v>426</v>
      </c>
      <c r="I134" t="s">
        <v>424</v>
      </c>
    </row>
    <row r="135" spans="1:9" x14ac:dyDescent="0.25">
      <c r="A135" t="s">
        <v>274</v>
      </c>
      <c r="B135">
        <v>105</v>
      </c>
      <c r="C135" s="1">
        <v>0.48</v>
      </c>
      <c r="D135">
        <v>0</v>
      </c>
      <c r="E135" t="s">
        <v>352</v>
      </c>
      <c r="F135">
        <v>95</v>
      </c>
      <c r="G135" t="s">
        <v>485</v>
      </c>
      <c r="H135" t="s">
        <v>426</v>
      </c>
      <c r="I135" t="s">
        <v>422</v>
      </c>
    </row>
    <row r="136" spans="1:9" x14ac:dyDescent="0.25">
      <c r="A136" t="s">
        <v>277</v>
      </c>
      <c r="B136">
        <v>899</v>
      </c>
      <c r="C136" s="1">
        <v>0.47</v>
      </c>
      <c r="D136">
        <v>0</v>
      </c>
      <c r="E136" t="s">
        <v>352</v>
      </c>
      <c r="F136">
        <v>800</v>
      </c>
      <c r="G136" t="s">
        <v>485</v>
      </c>
      <c r="H136" t="s">
        <v>426</v>
      </c>
      <c r="I136" t="s">
        <v>424</v>
      </c>
    </row>
    <row r="137" spans="1:9" x14ac:dyDescent="0.25">
      <c r="A137" t="s">
        <v>278</v>
      </c>
      <c r="B137">
        <v>1200</v>
      </c>
      <c r="C137" s="1">
        <v>0.5</v>
      </c>
      <c r="D137">
        <v>0</v>
      </c>
      <c r="E137" t="s">
        <v>352</v>
      </c>
      <c r="F137">
        <v>1200</v>
      </c>
      <c r="G137" t="s">
        <v>485</v>
      </c>
      <c r="H137" t="s">
        <v>426</v>
      </c>
      <c r="I137" t="s">
        <v>424</v>
      </c>
    </row>
    <row r="138" spans="1:9" x14ac:dyDescent="0.25">
      <c r="A138" t="s">
        <v>284</v>
      </c>
      <c r="B138">
        <v>248</v>
      </c>
      <c r="C138" s="1">
        <v>0.49</v>
      </c>
      <c r="D138">
        <v>0</v>
      </c>
      <c r="E138" t="s">
        <v>352</v>
      </c>
      <c r="F138">
        <v>238</v>
      </c>
      <c r="G138" t="s">
        <v>485</v>
      </c>
      <c r="H138" t="s">
        <v>426</v>
      </c>
      <c r="I138" t="s">
        <v>422</v>
      </c>
    </row>
    <row r="139" spans="1:9" x14ac:dyDescent="0.25">
      <c r="A139" t="s">
        <v>289</v>
      </c>
      <c r="B139">
        <v>525</v>
      </c>
      <c r="C139" s="1">
        <v>0.49</v>
      </c>
      <c r="D139">
        <v>0</v>
      </c>
      <c r="E139" t="s">
        <v>352</v>
      </c>
      <c r="F139">
        <v>504</v>
      </c>
      <c r="G139" t="s">
        <v>485</v>
      </c>
      <c r="H139" t="s">
        <v>426</v>
      </c>
      <c r="I139" t="s">
        <v>424</v>
      </c>
    </row>
    <row r="140" spans="1:9" x14ac:dyDescent="0.25">
      <c r="A140" t="s">
        <v>292</v>
      </c>
      <c r="B140">
        <v>1080</v>
      </c>
      <c r="C140" s="1">
        <v>0.42</v>
      </c>
      <c r="D140">
        <v>0</v>
      </c>
      <c r="E140" t="s">
        <v>352</v>
      </c>
      <c r="F140">
        <v>794</v>
      </c>
      <c r="G140" t="s">
        <v>485</v>
      </c>
      <c r="H140" t="s">
        <v>426</v>
      </c>
      <c r="I140" t="s">
        <v>424</v>
      </c>
    </row>
    <row r="141" spans="1:9" x14ac:dyDescent="0.25">
      <c r="A141" t="s">
        <v>298</v>
      </c>
      <c r="B141">
        <v>1420</v>
      </c>
      <c r="C141" s="1">
        <v>0.41</v>
      </c>
      <c r="D141">
        <v>0</v>
      </c>
      <c r="E141" t="s">
        <v>352</v>
      </c>
      <c r="F141">
        <v>1000</v>
      </c>
      <c r="G141" t="s">
        <v>485</v>
      </c>
      <c r="H141" t="s">
        <v>426</v>
      </c>
      <c r="I141" t="s">
        <v>424</v>
      </c>
    </row>
    <row r="142" spans="1:9" x14ac:dyDescent="0.25">
      <c r="A142" t="s">
        <v>316</v>
      </c>
      <c r="B142">
        <v>199</v>
      </c>
      <c r="C142" s="1">
        <v>0.64</v>
      </c>
      <c r="D142">
        <v>0</v>
      </c>
      <c r="E142" t="s">
        <v>352</v>
      </c>
      <c r="F142">
        <v>354</v>
      </c>
      <c r="G142" t="s">
        <v>485</v>
      </c>
      <c r="H142" t="s">
        <v>426</v>
      </c>
      <c r="I142" t="s">
        <v>422</v>
      </c>
    </row>
    <row r="143" spans="1:9" x14ac:dyDescent="0.25">
      <c r="A143" t="s">
        <v>320</v>
      </c>
      <c r="B143">
        <v>169</v>
      </c>
      <c r="C143" s="1">
        <v>0.47</v>
      </c>
      <c r="D143">
        <v>0</v>
      </c>
      <c r="E143" t="s">
        <v>352</v>
      </c>
      <c r="F143">
        <v>151</v>
      </c>
      <c r="G143" t="s">
        <v>485</v>
      </c>
      <c r="H143" t="s">
        <v>426</v>
      </c>
      <c r="I143" t="s">
        <v>422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
  <sheetViews>
    <sheetView zoomScale="90" zoomScaleNormal="90" workbookViewId="0">
      <selection activeCell="AA39" sqref="AA39"/>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E224"/>
  <sheetViews>
    <sheetView zoomScale="90" zoomScaleNormal="90" workbookViewId="0">
      <selection activeCell="S46" sqref="S46"/>
    </sheetView>
  </sheetViews>
  <sheetFormatPr defaultRowHeight="15" x14ac:dyDescent="0.25"/>
  <cols>
    <col min="1" max="1" width="74" bestFit="1" customWidth="1"/>
    <col min="2" max="2" width="19" bestFit="1" customWidth="1"/>
    <col min="3" max="3" width="4.5703125" bestFit="1" customWidth="1"/>
    <col min="4" max="4" width="8.5703125" bestFit="1" customWidth="1"/>
    <col min="5" max="5" width="11.28515625" bestFit="1" customWidth="1"/>
  </cols>
  <sheetData>
    <row r="1" spans="1:2" x14ac:dyDescent="0.25">
      <c r="A1" s="10" t="s">
        <v>481</v>
      </c>
      <c r="B1" s="10"/>
    </row>
    <row r="2" spans="1:2" x14ac:dyDescent="0.25">
      <c r="A2" s="14" t="s">
        <v>477</v>
      </c>
      <c r="B2" t="s">
        <v>479</v>
      </c>
    </row>
    <row r="3" spans="1:2" x14ac:dyDescent="0.25">
      <c r="A3" s="15" t="s">
        <v>422</v>
      </c>
      <c r="B3">
        <v>2.1111111111111112</v>
      </c>
    </row>
    <row r="4" spans="1:2" x14ac:dyDescent="0.25">
      <c r="A4" s="15" t="s">
        <v>424</v>
      </c>
      <c r="B4">
        <v>10.96875</v>
      </c>
    </row>
    <row r="5" spans="1:2" x14ac:dyDescent="0.25">
      <c r="A5" s="15" t="s">
        <v>426</v>
      </c>
      <c r="B5">
        <v>5.387096774193548</v>
      </c>
    </row>
    <row r="6" spans="1:2" x14ac:dyDescent="0.25">
      <c r="A6" s="15" t="s">
        <v>478</v>
      </c>
      <c r="B6">
        <v>6.4553571428571432</v>
      </c>
    </row>
    <row r="9" spans="1:2" x14ac:dyDescent="0.25">
      <c r="A9" s="10" t="s">
        <v>482</v>
      </c>
    </row>
    <row r="10" spans="1:2" x14ac:dyDescent="0.25">
      <c r="A10" s="14" t="s">
        <v>477</v>
      </c>
      <c r="B10" t="s">
        <v>479</v>
      </c>
    </row>
    <row r="11" spans="1:2" x14ac:dyDescent="0.25">
      <c r="A11" s="15" t="s">
        <v>486</v>
      </c>
      <c r="B11">
        <v>14.083333333333334</v>
      </c>
    </row>
    <row r="12" spans="1:2" x14ac:dyDescent="0.25">
      <c r="A12" s="15" t="s">
        <v>475</v>
      </c>
      <c r="B12">
        <v>7.1538461538461542</v>
      </c>
    </row>
    <row r="13" spans="1:2" x14ac:dyDescent="0.25">
      <c r="A13" s="15" t="s">
        <v>484</v>
      </c>
      <c r="B13">
        <v>13.23076923076923</v>
      </c>
    </row>
    <row r="14" spans="1:2" x14ac:dyDescent="0.25">
      <c r="A14" s="15" t="s">
        <v>483</v>
      </c>
      <c r="B14">
        <v>15.210526315789474</v>
      </c>
    </row>
    <row r="15" spans="1:2" x14ac:dyDescent="0.25">
      <c r="A15" s="15" t="s">
        <v>485</v>
      </c>
      <c r="B15">
        <v>0</v>
      </c>
    </row>
    <row r="16" spans="1:2" x14ac:dyDescent="0.25">
      <c r="A16" s="15" t="s">
        <v>478</v>
      </c>
      <c r="B16">
        <v>6.4553571428571432</v>
      </c>
    </row>
    <row r="19" spans="1:5" x14ac:dyDescent="0.25">
      <c r="A19" s="10" t="s">
        <v>487</v>
      </c>
    </row>
    <row r="20" spans="1:5" x14ac:dyDescent="0.25">
      <c r="A20" s="14" t="s">
        <v>477</v>
      </c>
      <c r="B20" t="s">
        <v>488</v>
      </c>
    </row>
    <row r="21" spans="1:5" x14ac:dyDescent="0.25">
      <c r="A21" s="15" t="s">
        <v>422</v>
      </c>
      <c r="B21">
        <v>3.6357142857142861</v>
      </c>
    </row>
    <row r="22" spans="1:5" x14ac:dyDescent="0.25">
      <c r="A22" s="15" t="s">
        <v>424</v>
      </c>
      <c r="B22">
        <v>3.8833333333333333</v>
      </c>
    </row>
    <row r="23" spans="1:5" x14ac:dyDescent="0.25">
      <c r="A23" s="15" t="s">
        <v>426</v>
      </c>
      <c r="B23">
        <v>4.0842105263157888</v>
      </c>
    </row>
    <row r="24" spans="1:5" x14ac:dyDescent="0.25">
      <c r="A24" s="15" t="s">
        <v>478</v>
      </c>
      <c r="B24">
        <v>3.8894736842105262</v>
      </c>
    </row>
    <row r="27" spans="1:5" x14ac:dyDescent="0.25">
      <c r="A27" s="10" t="s">
        <v>489</v>
      </c>
    </row>
    <row r="28" spans="1:5" x14ac:dyDescent="0.25">
      <c r="A28" s="14" t="s">
        <v>480</v>
      </c>
      <c r="B28" s="14" t="s">
        <v>490</v>
      </c>
    </row>
    <row r="29" spans="1:5" x14ac:dyDescent="0.25">
      <c r="A29" s="14" t="s">
        <v>477</v>
      </c>
      <c r="B29" t="s">
        <v>426</v>
      </c>
      <c r="C29" t="s">
        <v>422</v>
      </c>
      <c r="D29" t="s">
        <v>424</v>
      </c>
      <c r="E29" t="s">
        <v>478</v>
      </c>
    </row>
    <row r="30" spans="1:5" x14ac:dyDescent="0.25">
      <c r="A30" s="15" t="s">
        <v>475</v>
      </c>
      <c r="B30">
        <v>6</v>
      </c>
      <c r="C30">
        <v>2</v>
      </c>
      <c r="D30">
        <v>5</v>
      </c>
      <c r="E30">
        <v>13</v>
      </c>
    </row>
    <row r="31" spans="1:5" x14ac:dyDescent="0.25">
      <c r="A31" s="15" t="s">
        <v>483</v>
      </c>
      <c r="B31">
        <v>8</v>
      </c>
      <c r="C31">
        <v>1</v>
      </c>
      <c r="D31">
        <v>10</v>
      </c>
      <c r="E31">
        <v>19</v>
      </c>
    </row>
    <row r="32" spans="1:5" x14ac:dyDescent="0.25">
      <c r="A32" s="15" t="s">
        <v>484</v>
      </c>
      <c r="B32">
        <v>6</v>
      </c>
      <c r="D32">
        <v>7</v>
      </c>
      <c r="E32">
        <v>13</v>
      </c>
    </row>
    <row r="33" spans="1:5" x14ac:dyDescent="0.25">
      <c r="A33" s="15" t="s">
        <v>485</v>
      </c>
      <c r="B33">
        <v>32</v>
      </c>
      <c r="C33">
        <v>14</v>
      </c>
      <c r="D33">
        <v>9</v>
      </c>
      <c r="E33">
        <v>55</v>
      </c>
    </row>
    <row r="34" spans="1:5" x14ac:dyDescent="0.25">
      <c r="A34" s="15" t="s">
        <v>486</v>
      </c>
      <c r="B34">
        <v>10</v>
      </c>
      <c r="C34">
        <v>1</v>
      </c>
      <c r="D34">
        <v>1</v>
      </c>
      <c r="E34">
        <v>12</v>
      </c>
    </row>
    <row r="35" spans="1:5" x14ac:dyDescent="0.25">
      <c r="A35" s="15" t="s">
        <v>478</v>
      </c>
      <c r="B35">
        <v>62</v>
      </c>
      <c r="C35">
        <v>18</v>
      </c>
      <c r="D35">
        <v>32</v>
      </c>
      <c r="E35">
        <v>112</v>
      </c>
    </row>
    <row r="37" spans="1:5" x14ac:dyDescent="0.25">
      <c r="A37" s="10" t="s">
        <v>498</v>
      </c>
    </row>
    <row r="38" spans="1:5" x14ac:dyDescent="0.25">
      <c r="A38" s="14" t="s">
        <v>0</v>
      </c>
      <c r="B38" t="s">
        <v>497</v>
      </c>
    </row>
    <row r="39" spans="1:5" x14ac:dyDescent="0.25">
      <c r="A39" t="s">
        <v>194</v>
      </c>
      <c r="B39">
        <v>69</v>
      </c>
    </row>
    <row r="40" spans="1:5" x14ac:dyDescent="0.25">
      <c r="A40" t="s">
        <v>30</v>
      </c>
      <c r="B40">
        <v>55</v>
      </c>
    </row>
    <row r="41" spans="1:5" x14ac:dyDescent="0.25">
      <c r="A41" t="s">
        <v>89</v>
      </c>
      <c r="B41">
        <v>49</v>
      </c>
    </row>
    <row r="42" spans="1:5" x14ac:dyDescent="0.25">
      <c r="A42" t="s">
        <v>68</v>
      </c>
      <c r="B42">
        <v>44</v>
      </c>
    </row>
    <row r="43" spans="1:5" x14ac:dyDescent="0.25">
      <c r="A43" t="s">
        <v>44</v>
      </c>
      <c r="B43">
        <v>39</v>
      </c>
    </row>
    <row r="44" spans="1:5" x14ac:dyDescent="0.25">
      <c r="A44" t="s">
        <v>122</v>
      </c>
      <c r="B44">
        <v>36</v>
      </c>
    </row>
    <row r="45" spans="1:5" x14ac:dyDescent="0.25">
      <c r="A45" t="s">
        <v>114</v>
      </c>
      <c r="B45">
        <v>32</v>
      </c>
    </row>
    <row r="46" spans="1:5" x14ac:dyDescent="0.25">
      <c r="A46" t="s">
        <v>14</v>
      </c>
      <c r="B46">
        <v>24</v>
      </c>
    </row>
    <row r="47" spans="1:5" x14ac:dyDescent="0.25">
      <c r="A47" t="s">
        <v>111</v>
      </c>
      <c r="B47">
        <v>20</v>
      </c>
    </row>
    <row r="48" spans="1:5" x14ac:dyDescent="0.25">
      <c r="A48" t="s">
        <v>97</v>
      </c>
      <c r="B48">
        <v>20</v>
      </c>
    </row>
    <row r="58" spans="1:2" x14ac:dyDescent="0.25">
      <c r="A58" s="10" t="s">
        <v>470</v>
      </c>
    </row>
    <row r="59" spans="1:2" x14ac:dyDescent="0.25">
      <c r="A59" s="14" t="s">
        <v>0</v>
      </c>
      <c r="B59" t="s">
        <v>488</v>
      </c>
    </row>
    <row r="60" spans="1:2" x14ac:dyDescent="0.25">
      <c r="A60" t="s">
        <v>120</v>
      </c>
      <c r="B60">
        <v>5</v>
      </c>
    </row>
    <row r="61" spans="1:2" x14ac:dyDescent="0.25">
      <c r="A61" t="s">
        <v>63</v>
      </c>
      <c r="B61">
        <v>5</v>
      </c>
    </row>
    <row r="62" spans="1:2" x14ac:dyDescent="0.25">
      <c r="A62" t="s">
        <v>295</v>
      </c>
      <c r="B62">
        <v>5</v>
      </c>
    </row>
    <row r="63" spans="1:2" x14ac:dyDescent="0.25">
      <c r="A63" t="s">
        <v>56</v>
      </c>
      <c r="B63">
        <v>5</v>
      </c>
    </row>
    <row r="64" spans="1:2" x14ac:dyDescent="0.25">
      <c r="A64" t="s">
        <v>60</v>
      </c>
      <c r="B64">
        <v>5</v>
      </c>
    </row>
    <row r="65" spans="1:2" x14ac:dyDescent="0.25">
      <c r="A65" t="s">
        <v>245</v>
      </c>
      <c r="B65">
        <v>5</v>
      </c>
    </row>
    <row r="66" spans="1:2" x14ac:dyDescent="0.25">
      <c r="A66" t="s">
        <v>117</v>
      </c>
      <c r="B66">
        <v>5</v>
      </c>
    </row>
    <row r="67" spans="1:2" x14ac:dyDescent="0.25">
      <c r="A67" t="s">
        <v>35</v>
      </c>
      <c r="B67">
        <v>4.8</v>
      </c>
    </row>
    <row r="68" spans="1:2" x14ac:dyDescent="0.25">
      <c r="A68" t="s">
        <v>22</v>
      </c>
      <c r="B68">
        <v>4.8</v>
      </c>
    </row>
    <row r="69" spans="1:2" x14ac:dyDescent="0.25">
      <c r="A69" t="s">
        <v>47</v>
      </c>
      <c r="B69">
        <v>4.8</v>
      </c>
    </row>
    <row r="74" spans="1:2" x14ac:dyDescent="0.25">
      <c r="A74" s="10" t="s">
        <v>468</v>
      </c>
    </row>
    <row r="75" spans="1:2" x14ac:dyDescent="0.25">
      <c r="A75" s="14" t="s">
        <v>0</v>
      </c>
      <c r="B75" t="s">
        <v>499</v>
      </c>
    </row>
    <row r="76" spans="1:2" x14ac:dyDescent="0.25">
      <c r="A76" t="s">
        <v>316</v>
      </c>
      <c r="B76" s="1">
        <v>0.64</v>
      </c>
    </row>
    <row r="77" spans="1:2" x14ac:dyDescent="0.25">
      <c r="A77" t="s">
        <v>35</v>
      </c>
      <c r="B77" s="1">
        <v>0.55000000000000004</v>
      </c>
    </row>
    <row r="78" spans="1:2" x14ac:dyDescent="0.25">
      <c r="A78" t="s">
        <v>190</v>
      </c>
      <c r="B78" s="1">
        <v>0.55000000000000004</v>
      </c>
    </row>
    <row r="79" spans="1:2" x14ac:dyDescent="0.25">
      <c r="A79" t="s">
        <v>154</v>
      </c>
      <c r="B79" s="1">
        <v>0.55000000000000004</v>
      </c>
    </row>
    <row r="80" spans="1:2" x14ac:dyDescent="0.25">
      <c r="A80" t="s">
        <v>85</v>
      </c>
      <c r="B80" s="1">
        <v>0.54</v>
      </c>
    </row>
    <row r="81" spans="1:2" x14ac:dyDescent="0.25">
      <c r="A81" t="s">
        <v>186</v>
      </c>
      <c r="B81" s="1">
        <v>0.54</v>
      </c>
    </row>
    <row r="82" spans="1:2" x14ac:dyDescent="0.25">
      <c r="A82" t="s">
        <v>120</v>
      </c>
      <c r="B82" s="1">
        <v>0.53</v>
      </c>
    </row>
    <row r="83" spans="1:2" x14ac:dyDescent="0.25">
      <c r="A83" t="s">
        <v>71</v>
      </c>
      <c r="B83" s="1">
        <v>0.53</v>
      </c>
    </row>
    <row r="84" spans="1:2" x14ac:dyDescent="0.25">
      <c r="A84" t="s">
        <v>102</v>
      </c>
      <c r="B84" s="1">
        <v>0.52</v>
      </c>
    </row>
    <row r="85" spans="1:2" x14ac:dyDescent="0.25">
      <c r="A85" t="s">
        <v>198</v>
      </c>
      <c r="B85" s="1">
        <v>0.52</v>
      </c>
    </row>
    <row r="197" spans="3:3" x14ac:dyDescent="0.25">
      <c r="C197" s="1"/>
    </row>
    <row r="198" spans="3:3" x14ac:dyDescent="0.25">
      <c r="C198" s="1"/>
    </row>
    <row r="199" spans="3:3" x14ac:dyDescent="0.25">
      <c r="C199" s="1"/>
    </row>
    <row r="200" spans="3:3" x14ac:dyDescent="0.25">
      <c r="C200" s="1"/>
    </row>
    <row r="201" spans="3:3" x14ac:dyDescent="0.25">
      <c r="C201" s="1"/>
    </row>
    <row r="202" spans="3:3" x14ac:dyDescent="0.25">
      <c r="C202" s="1"/>
    </row>
    <row r="203" spans="3:3" x14ac:dyDescent="0.25">
      <c r="C203" s="1"/>
    </row>
    <row r="204" spans="3:3" x14ac:dyDescent="0.25">
      <c r="C204" s="1"/>
    </row>
    <row r="205" spans="3:3" x14ac:dyDescent="0.25">
      <c r="C205" s="1"/>
    </row>
    <row r="206" spans="3:3" x14ac:dyDescent="0.25">
      <c r="C206" s="1"/>
    </row>
    <row r="207" spans="3:3" x14ac:dyDescent="0.25">
      <c r="C207" s="1"/>
    </row>
    <row r="208" spans="3:3" x14ac:dyDescent="0.25">
      <c r="C208" s="1"/>
    </row>
    <row r="209" spans="3:3" x14ac:dyDescent="0.25">
      <c r="C209" s="1"/>
    </row>
    <row r="210" spans="3:3" x14ac:dyDescent="0.25">
      <c r="C210" s="1"/>
    </row>
    <row r="211" spans="3:3" x14ac:dyDescent="0.25">
      <c r="C211" s="1"/>
    </row>
    <row r="212" spans="3:3" x14ac:dyDescent="0.25">
      <c r="C212" s="1"/>
    </row>
    <row r="213" spans="3:3" x14ac:dyDescent="0.25">
      <c r="C213" s="1"/>
    </row>
    <row r="214" spans="3:3" x14ac:dyDescent="0.25">
      <c r="C214" s="1"/>
    </row>
    <row r="215" spans="3:3" x14ac:dyDescent="0.25">
      <c r="C215" s="1"/>
    </row>
    <row r="216" spans="3:3" x14ac:dyDescent="0.25">
      <c r="C216" s="1"/>
    </row>
    <row r="217" spans="3:3" x14ac:dyDescent="0.25">
      <c r="C217" s="1"/>
    </row>
    <row r="218" spans="3:3" x14ac:dyDescent="0.25">
      <c r="C218" s="1"/>
    </row>
    <row r="219" spans="3:3" x14ac:dyDescent="0.25">
      <c r="C219" s="1"/>
    </row>
    <row r="220" spans="3:3" x14ac:dyDescent="0.25">
      <c r="C220" s="1"/>
    </row>
    <row r="221" spans="3:3" x14ac:dyDescent="0.25">
      <c r="C221" s="1"/>
    </row>
    <row r="222" spans="3:3" x14ac:dyDescent="0.25">
      <c r="C222" s="1"/>
    </row>
    <row r="223" spans="3:3" x14ac:dyDescent="0.25">
      <c r="C223" s="1"/>
    </row>
    <row r="224" spans="3:3" x14ac:dyDescent="0.25">
      <c r="C224" s="1"/>
    </row>
  </sheetData>
  <pageMargins left="0.7" right="0.7" top="0.75" bottom="0.75" header="0.3" footer="0.3"/>
  <pageSetup paperSize="9"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sheetPr>
  <dimension ref="A1:J64"/>
  <sheetViews>
    <sheetView topLeftCell="A22" workbookViewId="0">
      <selection activeCell="A23" sqref="A23"/>
    </sheetView>
  </sheetViews>
  <sheetFormatPr defaultRowHeight="15" x14ac:dyDescent="0.25"/>
  <cols>
    <col min="1" max="1" width="68.85546875" customWidth="1"/>
    <col min="2" max="2" width="11.85546875" customWidth="1"/>
    <col min="3" max="3" width="8.42578125" customWidth="1"/>
    <col min="4" max="4" width="8.28515625" customWidth="1"/>
    <col min="5" max="5" width="7" customWidth="1"/>
    <col min="6" max="7" width="15.7109375" customWidth="1"/>
    <col min="8" max="9" width="16.42578125" customWidth="1"/>
    <col min="10" max="10" width="13.28515625" customWidth="1"/>
  </cols>
  <sheetData>
    <row r="1" spans="1:9" x14ac:dyDescent="0.25">
      <c r="A1" s="10" t="s">
        <v>472</v>
      </c>
    </row>
    <row r="2" spans="1:9" x14ac:dyDescent="0.25">
      <c r="A2" s="10" t="s">
        <v>0</v>
      </c>
      <c r="B2" s="10" t="s">
        <v>1</v>
      </c>
      <c r="C2" s="10" t="s">
        <v>3</v>
      </c>
      <c r="D2" s="10" t="s">
        <v>4</v>
      </c>
      <c r="E2" s="10" t="s">
        <v>351</v>
      </c>
      <c r="F2" s="10" t="s">
        <v>406</v>
      </c>
      <c r="G2" s="10" t="s">
        <v>407</v>
      </c>
      <c r="H2" s="10" t="s">
        <v>408</v>
      </c>
      <c r="I2" s="10" t="s">
        <v>409</v>
      </c>
    </row>
    <row r="3" spans="1:9" x14ac:dyDescent="0.25">
      <c r="A3" t="s">
        <v>194</v>
      </c>
      <c r="B3">
        <v>445</v>
      </c>
      <c r="C3" s="1">
        <v>0.49</v>
      </c>
      <c r="D3">
        <v>69</v>
      </c>
      <c r="E3">
        <v>2.8</v>
      </c>
      <c r="F3">
        <v>428</v>
      </c>
      <c r="G3" t="s">
        <v>486</v>
      </c>
      <c r="H3" t="s">
        <v>426</v>
      </c>
      <c r="I3" t="s">
        <v>422</v>
      </c>
    </row>
    <row r="4" spans="1:9" x14ac:dyDescent="0.25">
      <c r="A4" t="s">
        <v>215</v>
      </c>
      <c r="B4">
        <v>382</v>
      </c>
      <c r="C4" s="1">
        <v>0.45</v>
      </c>
      <c r="D4">
        <v>17</v>
      </c>
      <c r="E4">
        <v>2.6</v>
      </c>
      <c r="F4">
        <v>318</v>
      </c>
      <c r="G4" t="s">
        <v>486</v>
      </c>
      <c r="H4" t="s">
        <v>426</v>
      </c>
      <c r="I4" t="s">
        <v>422</v>
      </c>
    </row>
    <row r="5" spans="1:9" x14ac:dyDescent="0.25">
      <c r="A5" t="s">
        <v>198</v>
      </c>
      <c r="B5">
        <v>325</v>
      </c>
      <c r="C5" s="1">
        <v>0.52</v>
      </c>
      <c r="D5">
        <v>15</v>
      </c>
      <c r="E5">
        <v>2.7</v>
      </c>
      <c r="F5">
        <v>355</v>
      </c>
      <c r="G5" t="s">
        <v>486</v>
      </c>
      <c r="H5" t="s">
        <v>426</v>
      </c>
      <c r="I5" t="s">
        <v>422</v>
      </c>
    </row>
    <row r="6" spans="1:9" x14ac:dyDescent="0.25">
      <c r="A6" t="s">
        <v>190</v>
      </c>
      <c r="B6">
        <v>2115</v>
      </c>
      <c r="C6" s="1">
        <v>0.55000000000000004</v>
      </c>
      <c r="D6">
        <v>13</v>
      </c>
      <c r="E6">
        <v>2.1</v>
      </c>
      <c r="F6">
        <v>2585</v>
      </c>
      <c r="G6" t="s">
        <v>486</v>
      </c>
      <c r="H6" t="s">
        <v>426</v>
      </c>
      <c r="I6" t="s">
        <v>426</v>
      </c>
    </row>
    <row r="7" spans="1:9" x14ac:dyDescent="0.25">
      <c r="A7" t="s">
        <v>209</v>
      </c>
      <c r="B7">
        <v>1000</v>
      </c>
      <c r="C7" s="1">
        <v>0.5</v>
      </c>
      <c r="D7">
        <v>7</v>
      </c>
      <c r="E7">
        <v>2.2999999999999998</v>
      </c>
      <c r="F7">
        <v>1000</v>
      </c>
      <c r="G7" t="s">
        <v>486</v>
      </c>
      <c r="H7" t="s">
        <v>426</v>
      </c>
      <c r="I7" t="s">
        <v>424</v>
      </c>
    </row>
    <row r="8" spans="1:9" x14ac:dyDescent="0.25">
      <c r="A8" t="s">
        <v>229</v>
      </c>
      <c r="B8">
        <v>1570</v>
      </c>
      <c r="C8" s="1">
        <v>0.47</v>
      </c>
      <c r="D8">
        <v>7</v>
      </c>
      <c r="E8">
        <v>2.1</v>
      </c>
      <c r="F8">
        <v>1418</v>
      </c>
      <c r="G8" t="s">
        <v>486</v>
      </c>
      <c r="H8" t="s">
        <v>426</v>
      </c>
      <c r="I8" t="s">
        <v>424</v>
      </c>
    </row>
    <row r="9" spans="1:9" x14ac:dyDescent="0.25">
      <c r="A9" t="s">
        <v>206</v>
      </c>
      <c r="B9">
        <v>990</v>
      </c>
      <c r="C9" s="1">
        <v>0.45</v>
      </c>
      <c r="D9">
        <v>6</v>
      </c>
      <c r="E9">
        <v>2.2000000000000002</v>
      </c>
      <c r="F9">
        <v>824</v>
      </c>
      <c r="G9" t="s">
        <v>486</v>
      </c>
      <c r="H9" t="s">
        <v>426</v>
      </c>
      <c r="I9" t="s">
        <v>424</v>
      </c>
    </row>
    <row r="10" spans="1:9" x14ac:dyDescent="0.25">
      <c r="A10" t="s">
        <v>221</v>
      </c>
      <c r="B10">
        <v>345</v>
      </c>
      <c r="C10" s="1">
        <v>0.43</v>
      </c>
      <c r="D10">
        <v>6</v>
      </c>
      <c r="E10">
        <v>2.2999999999999998</v>
      </c>
      <c r="F10">
        <v>257</v>
      </c>
      <c r="G10" t="s">
        <v>486</v>
      </c>
      <c r="H10" t="s">
        <v>426</v>
      </c>
      <c r="I10" t="s">
        <v>422</v>
      </c>
    </row>
    <row r="11" spans="1:9" x14ac:dyDescent="0.25">
      <c r="A11" t="s">
        <v>227</v>
      </c>
      <c r="B11">
        <v>968</v>
      </c>
      <c r="C11" s="1">
        <v>0.47</v>
      </c>
      <c r="D11">
        <v>6</v>
      </c>
      <c r="E11">
        <v>2.2000000000000002</v>
      </c>
      <c r="F11">
        <v>846</v>
      </c>
      <c r="G11" t="s">
        <v>486</v>
      </c>
      <c r="H11" t="s">
        <v>426</v>
      </c>
      <c r="I11" t="s">
        <v>424</v>
      </c>
    </row>
    <row r="12" spans="1:9" x14ac:dyDescent="0.25">
      <c r="A12" t="s">
        <v>318</v>
      </c>
      <c r="B12">
        <v>450</v>
      </c>
      <c r="C12" s="1">
        <v>0.5</v>
      </c>
      <c r="D12">
        <v>1</v>
      </c>
      <c r="E12">
        <v>2</v>
      </c>
      <c r="F12">
        <v>450</v>
      </c>
      <c r="G12" t="s">
        <v>486</v>
      </c>
      <c r="H12" t="s">
        <v>426</v>
      </c>
      <c r="I12" t="s">
        <v>422</v>
      </c>
    </row>
    <row r="16" spans="1:9" x14ac:dyDescent="0.25">
      <c r="A16" s="10" t="s">
        <v>491</v>
      </c>
    </row>
    <row r="17" spans="1:9" x14ac:dyDescent="0.25">
      <c r="A17" s="10" t="s">
        <v>0</v>
      </c>
      <c r="B17" s="10" t="s">
        <v>1</v>
      </c>
      <c r="C17" s="10" t="s">
        <v>3</v>
      </c>
      <c r="D17" s="10" t="s">
        <v>4</v>
      </c>
      <c r="E17" s="10" t="s">
        <v>351</v>
      </c>
      <c r="F17" s="10" t="s">
        <v>406</v>
      </c>
      <c r="G17" s="10" t="s">
        <v>407</v>
      </c>
      <c r="H17" s="10" t="s">
        <v>408</v>
      </c>
      <c r="I17" s="10" t="s">
        <v>409</v>
      </c>
    </row>
    <row r="18" spans="1:9" x14ac:dyDescent="0.25">
      <c r="A18" t="s">
        <v>75</v>
      </c>
      <c r="B18">
        <v>1860</v>
      </c>
      <c r="C18" s="1">
        <v>0.42</v>
      </c>
      <c r="D18">
        <v>0</v>
      </c>
      <c r="E18" t="s">
        <v>352</v>
      </c>
      <c r="F18">
        <v>1360</v>
      </c>
      <c r="G18" t="s">
        <v>485</v>
      </c>
      <c r="H18" t="s">
        <v>426</v>
      </c>
      <c r="I18" t="s">
        <v>426</v>
      </c>
    </row>
    <row r="19" spans="1:9" x14ac:dyDescent="0.25">
      <c r="A19" t="s">
        <v>99</v>
      </c>
      <c r="B19">
        <v>2200</v>
      </c>
      <c r="C19" s="1">
        <v>0.46</v>
      </c>
      <c r="D19">
        <v>0</v>
      </c>
      <c r="E19" t="s">
        <v>352</v>
      </c>
      <c r="F19">
        <v>1880</v>
      </c>
      <c r="G19" t="s">
        <v>485</v>
      </c>
      <c r="H19" t="s">
        <v>426</v>
      </c>
      <c r="I19" t="s">
        <v>426</v>
      </c>
    </row>
    <row r="20" spans="1:9" x14ac:dyDescent="0.25">
      <c r="A20" t="s">
        <v>131</v>
      </c>
      <c r="B20">
        <v>475</v>
      </c>
      <c r="C20" s="1">
        <v>0.49</v>
      </c>
      <c r="D20">
        <v>0</v>
      </c>
      <c r="E20" t="s">
        <v>352</v>
      </c>
      <c r="F20">
        <v>456</v>
      </c>
      <c r="G20" t="s">
        <v>485</v>
      </c>
      <c r="H20" t="s">
        <v>426</v>
      </c>
      <c r="I20" t="s">
        <v>422</v>
      </c>
    </row>
    <row r="21" spans="1:9" x14ac:dyDescent="0.25">
      <c r="A21" t="s">
        <v>134</v>
      </c>
      <c r="B21">
        <v>238</v>
      </c>
      <c r="C21" s="1">
        <v>0.5</v>
      </c>
      <c r="D21">
        <v>0</v>
      </c>
      <c r="E21" t="s">
        <v>352</v>
      </c>
      <c r="F21">
        <v>238</v>
      </c>
      <c r="G21" t="s">
        <v>485</v>
      </c>
      <c r="H21" t="s">
        <v>426</v>
      </c>
      <c r="I21" t="s">
        <v>422</v>
      </c>
    </row>
    <row r="22" spans="1:9" x14ac:dyDescent="0.25">
      <c r="A22" t="s">
        <v>137</v>
      </c>
      <c r="B22">
        <v>610</v>
      </c>
      <c r="C22" s="1">
        <v>0.42</v>
      </c>
      <c r="D22">
        <v>0</v>
      </c>
      <c r="E22" t="s">
        <v>352</v>
      </c>
      <c r="F22">
        <v>450</v>
      </c>
      <c r="G22" t="s">
        <v>485</v>
      </c>
      <c r="H22" t="s">
        <v>426</v>
      </c>
      <c r="I22" t="s">
        <v>424</v>
      </c>
    </row>
    <row r="23" spans="1:9" x14ac:dyDescent="0.25">
      <c r="A23" t="s">
        <v>143</v>
      </c>
      <c r="B23">
        <v>999</v>
      </c>
      <c r="C23" s="1">
        <v>0.5</v>
      </c>
      <c r="D23">
        <v>0</v>
      </c>
      <c r="E23" t="s">
        <v>352</v>
      </c>
      <c r="F23">
        <v>1001</v>
      </c>
      <c r="G23" t="s">
        <v>485</v>
      </c>
      <c r="H23" t="s">
        <v>426</v>
      </c>
      <c r="I23" t="s">
        <v>424</v>
      </c>
    </row>
    <row r="24" spans="1:9" x14ac:dyDescent="0.25">
      <c r="A24" t="s">
        <v>148</v>
      </c>
      <c r="B24">
        <v>671</v>
      </c>
      <c r="C24" s="1">
        <v>0.49</v>
      </c>
      <c r="D24">
        <v>0</v>
      </c>
      <c r="E24" t="s">
        <v>352</v>
      </c>
      <c r="F24">
        <v>645</v>
      </c>
      <c r="G24" t="s">
        <v>485</v>
      </c>
      <c r="H24" t="s">
        <v>426</v>
      </c>
      <c r="I24" t="s">
        <v>424</v>
      </c>
    </row>
    <row r="25" spans="1:9" x14ac:dyDescent="0.25">
      <c r="A25" t="s">
        <v>154</v>
      </c>
      <c r="B25">
        <v>199</v>
      </c>
      <c r="C25" s="1">
        <v>0.61</v>
      </c>
      <c r="D25">
        <v>0</v>
      </c>
      <c r="E25" t="s">
        <v>352</v>
      </c>
      <c r="F25">
        <v>305</v>
      </c>
      <c r="G25" t="s">
        <v>485</v>
      </c>
      <c r="H25" t="s">
        <v>426</v>
      </c>
      <c r="I25" t="s">
        <v>422</v>
      </c>
    </row>
    <row r="26" spans="1:9" x14ac:dyDescent="0.25">
      <c r="A26" t="s">
        <v>157</v>
      </c>
      <c r="B26">
        <v>299</v>
      </c>
      <c r="C26" s="1">
        <v>0.5</v>
      </c>
      <c r="D26">
        <v>0</v>
      </c>
      <c r="E26" t="s">
        <v>352</v>
      </c>
      <c r="F26">
        <v>301</v>
      </c>
      <c r="G26" t="s">
        <v>485</v>
      </c>
      <c r="H26" t="s">
        <v>426</v>
      </c>
      <c r="I26" t="s">
        <v>422</v>
      </c>
    </row>
    <row r="27" spans="1:9" x14ac:dyDescent="0.25">
      <c r="A27" t="s">
        <v>168</v>
      </c>
      <c r="B27">
        <v>799</v>
      </c>
      <c r="C27" s="1">
        <v>0.41</v>
      </c>
      <c r="D27">
        <v>0</v>
      </c>
      <c r="E27" t="s">
        <v>352</v>
      </c>
      <c r="F27">
        <v>544</v>
      </c>
      <c r="G27" t="s">
        <v>485</v>
      </c>
      <c r="H27" t="s">
        <v>426</v>
      </c>
      <c r="I27" t="s">
        <v>424</v>
      </c>
    </row>
    <row r="28" spans="1:9" x14ac:dyDescent="0.25">
      <c r="A28" t="s">
        <v>170</v>
      </c>
      <c r="B28">
        <v>499</v>
      </c>
      <c r="C28" s="1">
        <v>0.45</v>
      </c>
      <c r="D28">
        <v>0</v>
      </c>
      <c r="E28" t="s">
        <v>352</v>
      </c>
      <c r="F28">
        <v>401</v>
      </c>
      <c r="G28" t="s">
        <v>485</v>
      </c>
      <c r="H28" t="s">
        <v>426</v>
      </c>
      <c r="I28" t="s">
        <v>424</v>
      </c>
    </row>
    <row r="29" spans="1:9" x14ac:dyDescent="0.25">
      <c r="A29" t="s">
        <v>173</v>
      </c>
      <c r="B29">
        <v>699</v>
      </c>
      <c r="C29" s="1">
        <v>0.48</v>
      </c>
      <c r="D29">
        <v>0</v>
      </c>
      <c r="E29" t="s">
        <v>352</v>
      </c>
      <c r="F29">
        <v>644</v>
      </c>
      <c r="G29" t="s">
        <v>485</v>
      </c>
      <c r="H29" t="s">
        <v>426</v>
      </c>
      <c r="I29" t="s">
        <v>424</v>
      </c>
    </row>
    <row r="30" spans="1:9" x14ac:dyDescent="0.25">
      <c r="A30" t="s">
        <v>175</v>
      </c>
      <c r="B30">
        <v>799</v>
      </c>
      <c r="C30" s="1">
        <v>0.49</v>
      </c>
      <c r="D30">
        <v>0</v>
      </c>
      <c r="E30" t="s">
        <v>352</v>
      </c>
      <c r="F30">
        <v>768</v>
      </c>
      <c r="G30" t="s">
        <v>485</v>
      </c>
      <c r="H30" t="s">
        <v>426</v>
      </c>
      <c r="I30" t="s">
        <v>424</v>
      </c>
    </row>
    <row r="31" spans="1:9" x14ac:dyDescent="0.25">
      <c r="A31" t="s">
        <v>170</v>
      </c>
      <c r="B31">
        <v>399</v>
      </c>
      <c r="C31" s="1">
        <v>0.55000000000000004</v>
      </c>
      <c r="D31">
        <v>0</v>
      </c>
      <c r="E31" t="s">
        <v>352</v>
      </c>
      <c r="F31">
        <v>497</v>
      </c>
      <c r="G31" t="s">
        <v>485</v>
      </c>
      <c r="H31" t="s">
        <v>426</v>
      </c>
      <c r="I31" t="s">
        <v>422</v>
      </c>
    </row>
    <row r="32" spans="1:9" x14ac:dyDescent="0.25">
      <c r="A32" t="s">
        <v>232</v>
      </c>
      <c r="B32">
        <v>790</v>
      </c>
      <c r="C32" s="1">
        <v>0.47</v>
      </c>
      <c r="D32">
        <v>0</v>
      </c>
      <c r="E32" t="s">
        <v>352</v>
      </c>
      <c r="F32">
        <v>695</v>
      </c>
      <c r="G32" t="s">
        <v>485</v>
      </c>
      <c r="H32" t="s">
        <v>426</v>
      </c>
      <c r="I32" t="s">
        <v>424</v>
      </c>
    </row>
    <row r="33" spans="1:9" x14ac:dyDescent="0.25">
      <c r="A33" t="s">
        <v>235</v>
      </c>
      <c r="B33">
        <v>690</v>
      </c>
      <c r="C33" s="1">
        <v>0.43</v>
      </c>
      <c r="D33">
        <v>0</v>
      </c>
      <c r="E33" t="s">
        <v>352</v>
      </c>
      <c r="F33">
        <v>510</v>
      </c>
      <c r="G33" t="s">
        <v>485</v>
      </c>
      <c r="H33" t="s">
        <v>426</v>
      </c>
      <c r="I33" t="s">
        <v>424</v>
      </c>
    </row>
    <row r="34" spans="1:9" x14ac:dyDescent="0.25">
      <c r="A34" t="s">
        <v>240</v>
      </c>
      <c r="B34">
        <v>230</v>
      </c>
      <c r="C34" s="1">
        <v>0.49</v>
      </c>
      <c r="D34">
        <v>0</v>
      </c>
      <c r="E34" t="s">
        <v>352</v>
      </c>
      <c r="F34">
        <v>220</v>
      </c>
      <c r="G34" t="s">
        <v>485</v>
      </c>
      <c r="H34" t="s">
        <v>426</v>
      </c>
      <c r="I34" t="s">
        <v>422</v>
      </c>
    </row>
    <row r="35" spans="1:9" x14ac:dyDescent="0.25">
      <c r="A35" t="s">
        <v>154</v>
      </c>
      <c r="B35">
        <v>176</v>
      </c>
      <c r="C35" s="1">
        <v>0.49</v>
      </c>
      <c r="D35">
        <v>0</v>
      </c>
      <c r="E35" t="s">
        <v>352</v>
      </c>
      <c r="F35">
        <v>169</v>
      </c>
      <c r="G35" t="s">
        <v>485</v>
      </c>
      <c r="H35" t="s">
        <v>426</v>
      </c>
      <c r="I35" t="s">
        <v>422</v>
      </c>
    </row>
    <row r="36" spans="1:9" x14ac:dyDescent="0.25">
      <c r="A36" t="s">
        <v>258</v>
      </c>
      <c r="B36">
        <v>274</v>
      </c>
      <c r="C36" s="1">
        <v>0.49</v>
      </c>
      <c r="D36">
        <v>0</v>
      </c>
      <c r="E36" t="s">
        <v>352</v>
      </c>
      <c r="F36">
        <v>263</v>
      </c>
      <c r="G36" t="s">
        <v>485</v>
      </c>
      <c r="H36" t="s">
        <v>426</v>
      </c>
      <c r="I36" t="s">
        <v>422</v>
      </c>
    </row>
    <row r="37" spans="1:9" x14ac:dyDescent="0.25">
      <c r="A37" t="s">
        <v>175</v>
      </c>
      <c r="B37">
        <v>657</v>
      </c>
      <c r="C37" s="1">
        <v>0.49</v>
      </c>
      <c r="D37">
        <v>0</v>
      </c>
      <c r="E37" t="s">
        <v>352</v>
      </c>
      <c r="F37">
        <v>631</v>
      </c>
      <c r="G37" t="s">
        <v>485</v>
      </c>
      <c r="H37" t="s">
        <v>426</v>
      </c>
      <c r="I37" t="s">
        <v>424</v>
      </c>
    </row>
    <row r="38" spans="1:9" x14ac:dyDescent="0.25">
      <c r="A38" t="s">
        <v>266</v>
      </c>
      <c r="B38">
        <v>630</v>
      </c>
      <c r="C38" s="1">
        <v>0.43</v>
      </c>
      <c r="D38">
        <v>0</v>
      </c>
      <c r="E38" t="s">
        <v>352</v>
      </c>
      <c r="F38">
        <v>470</v>
      </c>
      <c r="G38" t="s">
        <v>485</v>
      </c>
      <c r="H38" t="s">
        <v>426</v>
      </c>
      <c r="I38" t="s">
        <v>424</v>
      </c>
    </row>
    <row r="39" spans="1:9" x14ac:dyDescent="0.25">
      <c r="A39" t="s">
        <v>269</v>
      </c>
      <c r="B39">
        <v>850</v>
      </c>
      <c r="C39" s="1">
        <v>0.5</v>
      </c>
      <c r="D39">
        <v>0</v>
      </c>
      <c r="E39" t="s">
        <v>352</v>
      </c>
      <c r="F39">
        <v>850</v>
      </c>
      <c r="G39" t="s">
        <v>485</v>
      </c>
      <c r="H39" t="s">
        <v>426</v>
      </c>
      <c r="I39" t="s">
        <v>424</v>
      </c>
    </row>
    <row r="40" spans="1:9" x14ac:dyDescent="0.25">
      <c r="A40" t="s">
        <v>272</v>
      </c>
      <c r="B40">
        <v>1300</v>
      </c>
      <c r="C40" s="1">
        <v>0.48</v>
      </c>
      <c r="D40">
        <v>0</v>
      </c>
      <c r="E40" t="s">
        <v>352</v>
      </c>
      <c r="F40">
        <v>1200</v>
      </c>
      <c r="G40" t="s">
        <v>485</v>
      </c>
      <c r="H40" t="s">
        <v>426</v>
      </c>
      <c r="I40" t="s">
        <v>424</v>
      </c>
    </row>
    <row r="41" spans="1:9" x14ac:dyDescent="0.25">
      <c r="A41" t="s">
        <v>274</v>
      </c>
      <c r="B41">
        <v>105</v>
      </c>
      <c r="C41" s="1">
        <v>0.48</v>
      </c>
      <c r="D41">
        <v>0</v>
      </c>
      <c r="E41" t="s">
        <v>352</v>
      </c>
      <c r="F41">
        <v>95</v>
      </c>
      <c r="G41" t="s">
        <v>485</v>
      </c>
      <c r="H41" t="s">
        <v>426</v>
      </c>
      <c r="I41" t="s">
        <v>422</v>
      </c>
    </row>
    <row r="42" spans="1:9" x14ac:dyDescent="0.25">
      <c r="A42" t="s">
        <v>277</v>
      </c>
      <c r="B42">
        <v>899</v>
      </c>
      <c r="C42" s="1">
        <v>0.47</v>
      </c>
      <c r="D42">
        <v>0</v>
      </c>
      <c r="E42" t="s">
        <v>352</v>
      </c>
      <c r="F42">
        <v>800</v>
      </c>
      <c r="G42" t="s">
        <v>485</v>
      </c>
      <c r="H42" t="s">
        <v>426</v>
      </c>
      <c r="I42" t="s">
        <v>424</v>
      </c>
    </row>
    <row r="43" spans="1:9" x14ac:dyDescent="0.25">
      <c r="A43" t="s">
        <v>278</v>
      </c>
      <c r="B43">
        <v>1200</v>
      </c>
      <c r="C43" s="1">
        <v>0.5</v>
      </c>
      <c r="D43">
        <v>0</v>
      </c>
      <c r="E43" t="s">
        <v>352</v>
      </c>
      <c r="F43">
        <v>1200</v>
      </c>
      <c r="G43" t="s">
        <v>485</v>
      </c>
      <c r="H43" t="s">
        <v>426</v>
      </c>
      <c r="I43" t="s">
        <v>424</v>
      </c>
    </row>
    <row r="44" spans="1:9" x14ac:dyDescent="0.25">
      <c r="A44" t="s">
        <v>284</v>
      </c>
      <c r="B44">
        <v>248</v>
      </c>
      <c r="C44" s="1">
        <v>0.49</v>
      </c>
      <c r="D44">
        <v>0</v>
      </c>
      <c r="E44" t="s">
        <v>352</v>
      </c>
      <c r="F44">
        <v>238</v>
      </c>
      <c r="G44" t="s">
        <v>485</v>
      </c>
      <c r="H44" t="s">
        <v>426</v>
      </c>
      <c r="I44" t="s">
        <v>422</v>
      </c>
    </row>
    <row r="45" spans="1:9" x14ac:dyDescent="0.25">
      <c r="A45" t="s">
        <v>289</v>
      </c>
      <c r="B45">
        <v>525</v>
      </c>
      <c r="C45" s="1">
        <v>0.49</v>
      </c>
      <c r="D45">
        <v>0</v>
      </c>
      <c r="E45" t="s">
        <v>352</v>
      </c>
      <c r="F45">
        <v>504</v>
      </c>
      <c r="G45" t="s">
        <v>485</v>
      </c>
      <c r="H45" t="s">
        <v>426</v>
      </c>
      <c r="I45" t="s">
        <v>424</v>
      </c>
    </row>
    <row r="46" spans="1:9" x14ac:dyDescent="0.25">
      <c r="A46" t="s">
        <v>292</v>
      </c>
      <c r="B46">
        <v>1080</v>
      </c>
      <c r="C46" s="1">
        <v>0.42</v>
      </c>
      <c r="D46">
        <v>0</v>
      </c>
      <c r="E46" t="s">
        <v>352</v>
      </c>
      <c r="F46">
        <v>794</v>
      </c>
      <c r="G46" t="s">
        <v>485</v>
      </c>
      <c r="H46" t="s">
        <v>426</v>
      </c>
      <c r="I46" t="s">
        <v>424</v>
      </c>
    </row>
    <row r="47" spans="1:9" x14ac:dyDescent="0.25">
      <c r="A47" t="s">
        <v>298</v>
      </c>
      <c r="B47">
        <v>1420</v>
      </c>
      <c r="C47" s="1">
        <v>0.41</v>
      </c>
      <c r="D47">
        <v>0</v>
      </c>
      <c r="E47" t="s">
        <v>352</v>
      </c>
      <c r="F47">
        <v>1000</v>
      </c>
      <c r="G47" t="s">
        <v>485</v>
      </c>
      <c r="H47" t="s">
        <v>426</v>
      </c>
      <c r="I47" t="s">
        <v>424</v>
      </c>
    </row>
    <row r="48" spans="1:9" x14ac:dyDescent="0.25">
      <c r="A48" t="s">
        <v>316</v>
      </c>
      <c r="B48">
        <v>199</v>
      </c>
      <c r="C48" s="1">
        <v>0.64</v>
      </c>
      <c r="D48">
        <v>0</v>
      </c>
      <c r="E48" t="s">
        <v>352</v>
      </c>
      <c r="F48">
        <v>354</v>
      </c>
      <c r="G48" t="s">
        <v>485</v>
      </c>
      <c r="H48" t="s">
        <v>426</v>
      </c>
      <c r="I48" t="s">
        <v>422</v>
      </c>
    </row>
    <row r="49" spans="1:10" x14ac:dyDescent="0.25">
      <c r="A49" t="s">
        <v>320</v>
      </c>
      <c r="B49">
        <v>169</v>
      </c>
      <c r="C49" s="1">
        <v>0.47</v>
      </c>
      <c r="D49">
        <v>0</v>
      </c>
      <c r="E49" t="s">
        <v>352</v>
      </c>
      <c r="F49">
        <v>151</v>
      </c>
      <c r="G49" t="s">
        <v>485</v>
      </c>
      <c r="H49" t="s">
        <v>426</v>
      </c>
      <c r="I49" t="s">
        <v>422</v>
      </c>
    </row>
    <row r="52" spans="1:10" x14ac:dyDescent="0.25">
      <c r="A52" s="10" t="s">
        <v>492</v>
      </c>
    </row>
    <row r="53" spans="1:10" x14ac:dyDescent="0.25">
      <c r="A53" s="10" t="s">
        <v>0</v>
      </c>
      <c r="B53" s="10" t="s">
        <v>1</v>
      </c>
      <c r="C53" s="10" t="s">
        <v>3</v>
      </c>
      <c r="D53" s="10" t="s">
        <v>4</v>
      </c>
      <c r="E53" s="10" t="s">
        <v>351</v>
      </c>
      <c r="F53" s="10" t="s">
        <v>406</v>
      </c>
      <c r="G53" s="10" t="s">
        <v>407</v>
      </c>
      <c r="H53" s="10" t="s">
        <v>408</v>
      </c>
      <c r="I53" s="10" t="s">
        <v>409</v>
      </c>
    </row>
    <row r="54" spans="1:10" x14ac:dyDescent="0.25">
      <c r="A54" t="s">
        <v>26</v>
      </c>
      <c r="B54">
        <v>2999</v>
      </c>
      <c r="C54" s="1">
        <v>0.09</v>
      </c>
      <c r="D54">
        <v>15</v>
      </c>
      <c r="E54">
        <v>4</v>
      </c>
      <c r="F54">
        <v>291</v>
      </c>
      <c r="G54" t="s">
        <v>475</v>
      </c>
      <c r="H54" t="s">
        <v>422</v>
      </c>
      <c r="I54" t="s">
        <v>426</v>
      </c>
    </row>
    <row r="55" spans="1:10" x14ac:dyDescent="0.25">
      <c r="A55" t="s">
        <v>71</v>
      </c>
      <c r="B55">
        <v>38</v>
      </c>
      <c r="C55" s="1">
        <v>0.53</v>
      </c>
      <c r="D55">
        <v>13</v>
      </c>
      <c r="E55">
        <v>3.3</v>
      </c>
      <c r="F55">
        <v>42</v>
      </c>
      <c r="G55" t="s">
        <v>475</v>
      </c>
      <c r="H55" t="s">
        <v>426</v>
      </c>
      <c r="I55" t="s">
        <v>422</v>
      </c>
    </row>
    <row r="56" spans="1:10" x14ac:dyDescent="0.25">
      <c r="A56" t="s">
        <v>95</v>
      </c>
      <c r="B56">
        <v>1350</v>
      </c>
      <c r="C56" s="1">
        <v>0.32</v>
      </c>
      <c r="D56">
        <v>13</v>
      </c>
      <c r="E56">
        <v>3.8</v>
      </c>
      <c r="F56">
        <v>640</v>
      </c>
      <c r="G56" t="s">
        <v>475</v>
      </c>
      <c r="H56" t="s">
        <v>424</v>
      </c>
      <c r="I56" t="s">
        <v>424</v>
      </c>
    </row>
    <row r="57" spans="1:10" x14ac:dyDescent="0.25">
      <c r="A57" t="s">
        <v>92</v>
      </c>
      <c r="B57">
        <v>2880</v>
      </c>
      <c r="C57" s="1">
        <v>0.18</v>
      </c>
      <c r="D57">
        <v>12</v>
      </c>
      <c r="E57">
        <v>3.8</v>
      </c>
      <c r="F57">
        <v>640</v>
      </c>
      <c r="G57" t="s">
        <v>475</v>
      </c>
      <c r="H57" t="s">
        <v>422</v>
      </c>
      <c r="I57" t="s">
        <v>426</v>
      </c>
    </row>
    <row r="58" spans="1:10" x14ac:dyDescent="0.25">
      <c r="A58" t="s">
        <v>186</v>
      </c>
      <c r="B58">
        <v>458</v>
      </c>
      <c r="C58" s="1">
        <v>0.54</v>
      </c>
      <c r="D58">
        <v>10</v>
      </c>
      <c r="E58">
        <v>3</v>
      </c>
      <c r="F58">
        <v>528</v>
      </c>
      <c r="G58" t="s">
        <v>475</v>
      </c>
      <c r="H58" t="s">
        <v>426</v>
      </c>
      <c r="I58" t="s">
        <v>422</v>
      </c>
    </row>
    <row r="61" spans="1:10" x14ac:dyDescent="0.25">
      <c r="A61" s="10" t="s">
        <v>493</v>
      </c>
    </row>
    <row r="62" spans="1:10" x14ac:dyDescent="0.25">
      <c r="A62" s="10" t="s">
        <v>0</v>
      </c>
      <c r="B62" s="10" t="s">
        <v>1</v>
      </c>
      <c r="C62" s="10" t="s">
        <v>346</v>
      </c>
      <c r="D62" s="10" t="s">
        <v>3</v>
      </c>
      <c r="E62" s="10" t="s">
        <v>4</v>
      </c>
      <c r="F62" s="10" t="s">
        <v>351</v>
      </c>
      <c r="G62" s="10" t="s">
        <v>406</v>
      </c>
      <c r="H62" s="10" t="s">
        <v>407</v>
      </c>
      <c r="I62" s="10" t="s">
        <v>408</v>
      </c>
      <c r="J62" s="10" t="s">
        <v>409</v>
      </c>
    </row>
    <row r="63" spans="1:10" x14ac:dyDescent="0.25">
      <c r="A63" t="s">
        <v>190</v>
      </c>
      <c r="B63">
        <v>2115</v>
      </c>
      <c r="C63">
        <v>4700</v>
      </c>
      <c r="D63" s="1">
        <v>0.55000000000000004</v>
      </c>
      <c r="E63">
        <v>13</v>
      </c>
      <c r="F63">
        <v>2.1</v>
      </c>
      <c r="G63">
        <v>2585</v>
      </c>
      <c r="H63" t="s">
        <v>486</v>
      </c>
      <c r="I63" t="s">
        <v>426</v>
      </c>
      <c r="J63" t="s">
        <v>426</v>
      </c>
    </row>
    <row r="64" spans="1:10" x14ac:dyDescent="0.25">
      <c r="A64" t="s">
        <v>182</v>
      </c>
      <c r="B64">
        <v>2170</v>
      </c>
      <c r="C64">
        <v>2500</v>
      </c>
      <c r="D64" s="1">
        <v>0.13</v>
      </c>
      <c r="E64">
        <v>6</v>
      </c>
      <c r="F64">
        <v>2.5</v>
      </c>
      <c r="G64">
        <v>330</v>
      </c>
      <c r="H64" t="s">
        <v>486</v>
      </c>
      <c r="I64" t="s">
        <v>422</v>
      </c>
      <c r="J64" t="s">
        <v>426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Raw dataset</vt:lpstr>
      <vt:lpstr>Cleaned data</vt:lpstr>
      <vt:lpstr>Cleaning log</vt:lpstr>
      <vt:lpstr>Project Brief</vt:lpstr>
      <vt:lpstr>Descriptive Stats</vt:lpstr>
      <vt:lpstr>Enrichment</vt:lpstr>
      <vt:lpstr>Analysis Working</vt:lpstr>
      <vt:lpstr> Analysis Tables</vt:lpstr>
      <vt:lpstr>Pivot Charts</vt:lpstr>
      <vt:lpstr>Pivot Tables</vt:lpstr>
      <vt:lpstr>Exception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K. Ndalamia</dc:creator>
  <cp:lastModifiedBy>Jason K. Ndalamia</cp:lastModifiedBy>
  <dcterms:created xsi:type="dcterms:W3CDTF">2026-09-27T17:37:28Z</dcterms:created>
  <dcterms:modified xsi:type="dcterms:W3CDTF">2026-09-30T05:40:26Z</dcterms:modified>
</cp:coreProperties>
</file>